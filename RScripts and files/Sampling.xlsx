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https://virginiatech-my.sharepoint.com/personal/lrs_vt_edu/Documents/Research/Data/"/>
    </mc:Choice>
  </mc:AlternateContent>
  <xr:revisionPtr revIDLastSave="2522" documentId="11_7A456F95A817F7057E3B8F9408F21000E26B3CDF" xr6:coauthVersionLast="47" xr6:coauthVersionMax="47" xr10:uidLastSave="{6D20C9B0-325D-874C-9D3C-16F6D2EA9270}"/>
  <bookViews>
    <workbookView xWindow="0" yWindow="740" windowWidth="29400" windowHeight="18380" firstSheet="1" activeTab="3" xr2:uid="{00000000-000D-0000-FFFF-FFFF00000000}"/>
  </bookViews>
  <sheets>
    <sheet name="Locations" sheetId="1" r:id="rId1"/>
    <sheet name="SW" sheetId="2" r:id="rId2"/>
    <sheet name="DW" sheetId="3" r:id="rId3"/>
    <sheet name="comparison" sheetId="4" r:id="rId4"/>
    <sheet name="MP comp" sheetId="7" r:id="rId5"/>
    <sheet name="Before YSI" sheetId="5" r:id="rId6"/>
    <sheet name="Raman readings" sheetId="8" r:id="rId7"/>
    <sheet name="SR4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02" i="4" l="1"/>
  <c r="E102" i="4"/>
  <c r="AE100" i="4"/>
  <c r="AE101" i="4"/>
  <c r="E100" i="4"/>
  <c r="E101" i="4"/>
  <c r="AE99" i="4"/>
  <c r="AE98" i="4"/>
  <c r="AE97" i="4"/>
  <c r="E99" i="4"/>
  <c r="E97" i="4"/>
  <c r="E98" i="4"/>
  <c r="E96" i="1"/>
  <c r="E95" i="1"/>
  <c r="E94" i="1"/>
  <c r="E93" i="1"/>
  <c r="E92" i="1"/>
  <c r="AE96" i="4"/>
  <c r="E96" i="4"/>
  <c r="AD95" i="4"/>
  <c r="AE92" i="4"/>
  <c r="AE93" i="4"/>
  <c r="AE94" i="4"/>
  <c r="AE95" i="4"/>
  <c r="E92" i="4"/>
  <c r="E93" i="4"/>
  <c r="E94" i="4"/>
  <c r="E95" i="4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S61" i="7"/>
  <c r="S60" i="7"/>
  <c r="S59" i="7"/>
  <c r="S58" i="7"/>
  <c r="S57" i="7"/>
  <c r="S56" i="7"/>
  <c r="S55" i="7"/>
  <c r="S54" i="7"/>
  <c r="S53" i="7"/>
  <c r="S52" i="7"/>
  <c r="S51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30" i="7"/>
  <c r="S29" i="7"/>
  <c r="S28" i="7"/>
  <c r="S27" i="7"/>
  <c r="S26" i="7"/>
  <c r="S25" i="7"/>
  <c r="S24" i="7"/>
  <c r="S23" i="7"/>
  <c r="S22" i="7"/>
  <c r="S21" i="7"/>
  <c r="S20" i="7"/>
  <c r="S19" i="7"/>
  <c r="S18" i="7"/>
  <c r="S17" i="7"/>
  <c r="S16" i="7"/>
  <c r="S15" i="7"/>
  <c r="S14" i="7"/>
  <c r="S13" i="7"/>
  <c r="S12" i="7"/>
  <c r="S11" i="7"/>
  <c r="AE91" i="4"/>
  <c r="AE89" i="4"/>
  <c r="AE90" i="4"/>
  <c r="E91" i="4"/>
  <c r="E89" i="4"/>
  <c r="E90" i="4"/>
  <c r="AE83" i="4"/>
  <c r="AE80" i="4"/>
  <c r="AE81" i="4"/>
  <c r="AE82" i="4"/>
  <c r="AE84" i="4"/>
  <c r="AE85" i="4"/>
  <c r="AE86" i="4"/>
  <c r="AE87" i="4"/>
  <c r="AE88" i="4"/>
  <c r="E86" i="4"/>
  <c r="E87" i="4"/>
  <c r="E88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60" i="4"/>
  <c r="AE69" i="4"/>
  <c r="AE70" i="4"/>
  <c r="AE71" i="4"/>
  <c r="AE72" i="4"/>
  <c r="AE73" i="4"/>
  <c r="AE74" i="4"/>
  <c r="AE75" i="4"/>
  <c r="AE76" i="4"/>
  <c r="AE77" i="4"/>
  <c r="AE78" i="4"/>
  <c r="AE79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D56" i="4"/>
  <c r="C56" i="4"/>
  <c r="D55" i="4"/>
  <c r="C55" i="4"/>
  <c r="D54" i="4"/>
  <c r="C54" i="4"/>
  <c r="D53" i="4"/>
  <c r="C53" i="4"/>
  <c r="E68" i="1"/>
  <c r="E67" i="1"/>
  <c r="E66" i="1"/>
  <c r="E65" i="1"/>
  <c r="E64" i="1"/>
  <c r="E63" i="1"/>
  <c r="E62" i="1"/>
  <c r="E61" i="1"/>
  <c r="E60" i="1"/>
  <c r="D56" i="1"/>
  <c r="C56" i="1"/>
  <c r="D55" i="1"/>
  <c r="C55" i="1"/>
  <c r="D54" i="1"/>
  <c r="C54" i="1"/>
  <c r="D53" i="1"/>
  <c r="C53" i="1"/>
  <c r="E65" i="3"/>
  <c r="E64" i="3"/>
  <c r="E63" i="3"/>
  <c r="E62" i="3"/>
  <c r="E61" i="3"/>
  <c r="E60" i="3"/>
  <c r="E59" i="3"/>
  <c r="E58" i="3"/>
  <c r="E57" i="3"/>
  <c r="E61" i="2"/>
  <c r="E62" i="2"/>
  <c r="E63" i="2"/>
  <c r="E64" i="2"/>
  <c r="E65" i="2"/>
  <c r="E66" i="2"/>
  <c r="E67" i="2"/>
  <c r="E68" i="2"/>
  <c r="E60" i="2"/>
  <c r="D53" i="3"/>
  <c r="C53" i="3"/>
  <c r="D52" i="3"/>
  <c r="C52" i="3"/>
  <c r="D51" i="3"/>
  <c r="C51" i="3"/>
  <c r="D50" i="3"/>
  <c r="C50" i="3"/>
  <c r="C53" i="2"/>
  <c r="D53" i="2"/>
  <c r="C54" i="2"/>
  <c r="D54" i="2"/>
  <c r="C55" i="2"/>
  <c r="D55" i="2"/>
  <c r="C56" i="2"/>
  <c r="D56" i="2"/>
  <c r="AE3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3" i="4"/>
  <c r="AE24" i="4"/>
  <c r="AE25" i="4"/>
  <c r="AE20" i="4"/>
  <c r="AE21" i="4"/>
  <c r="AE22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41" i="4"/>
  <c r="AE42" i="4"/>
  <c r="AE43" i="4"/>
  <c r="AE38" i="4"/>
  <c r="AE39" i="4"/>
  <c r="AE40" i="4"/>
  <c r="AE44" i="4"/>
  <c r="AE45" i="4"/>
  <c r="AE46" i="4"/>
  <c r="AE47" i="4"/>
  <c r="AE48" i="4"/>
  <c r="AE49" i="4"/>
  <c r="AE50" i="4"/>
  <c r="AE51" i="4"/>
  <c r="AE52" i="4"/>
  <c r="AE2" i="4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52" i="2"/>
  <c r="C52" i="2"/>
  <c r="D51" i="2"/>
  <c r="C51" i="2"/>
  <c r="D50" i="2"/>
  <c r="C50" i="2"/>
  <c r="D52" i="1"/>
  <c r="C52" i="1"/>
  <c r="D51" i="1"/>
  <c r="C51" i="1"/>
  <c r="D50" i="1"/>
  <c r="C50" i="1"/>
  <c r="C47" i="3"/>
  <c r="C48" i="3"/>
  <c r="C49" i="3"/>
  <c r="D47" i="3"/>
  <c r="D48" i="3"/>
  <c r="D49" i="3"/>
  <c r="D46" i="3"/>
  <c r="C46" i="3"/>
  <c r="D45" i="3"/>
  <c r="C45" i="3"/>
  <c r="D44" i="3"/>
  <c r="C44" i="3"/>
  <c r="D49" i="1"/>
  <c r="C49" i="1"/>
  <c r="D48" i="1"/>
  <c r="C48" i="1"/>
  <c r="D47" i="1"/>
  <c r="C47" i="1"/>
  <c r="C47" i="2"/>
  <c r="C48" i="2"/>
  <c r="C49" i="2"/>
  <c r="D47" i="2"/>
  <c r="D48" i="2"/>
  <c r="D49" i="2"/>
  <c r="D43" i="3"/>
  <c r="C43" i="3"/>
  <c r="D42" i="3"/>
  <c r="C42" i="3"/>
  <c r="D41" i="3"/>
  <c r="C41" i="3"/>
  <c r="D46" i="2"/>
  <c r="C46" i="2"/>
  <c r="D45" i="2"/>
  <c r="C45" i="2"/>
  <c r="D44" i="2"/>
  <c r="C44" i="2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2" i="7"/>
  <c r="C44" i="1"/>
  <c r="C45" i="1"/>
  <c r="C46" i="1"/>
  <c r="D46" i="1"/>
  <c r="D45" i="1"/>
  <c r="D44" i="1"/>
  <c r="C41" i="4"/>
  <c r="D41" i="4"/>
  <c r="C42" i="4"/>
  <c r="D42" i="4"/>
  <c r="C43" i="4"/>
  <c r="D43" i="4"/>
  <c r="C38" i="4"/>
  <c r="D38" i="4"/>
  <c r="C39" i="4"/>
  <c r="D39" i="4"/>
  <c r="C40" i="4"/>
  <c r="D40" i="4"/>
  <c r="D40" i="3"/>
  <c r="C40" i="3"/>
  <c r="D39" i="3"/>
  <c r="C39" i="3"/>
  <c r="D38" i="3"/>
  <c r="C38" i="3"/>
  <c r="D37" i="3"/>
  <c r="C37" i="3"/>
  <c r="D36" i="3"/>
  <c r="C36" i="3"/>
  <c r="D35" i="3"/>
  <c r="C35" i="3"/>
  <c r="D43" i="2"/>
  <c r="C43" i="2"/>
  <c r="D42" i="2"/>
  <c r="C42" i="2"/>
  <c r="D41" i="2"/>
  <c r="C41" i="2"/>
  <c r="D40" i="2"/>
  <c r="C40" i="2"/>
  <c r="D39" i="2"/>
  <c r="C39" i="2"/>
  <c r="D38" i="2"/>
  <c r="C38" i="2"/>
  <c r="D43" i="1"/>
  <c r="C43" i="1"/>
  <c r="D42" i="1"/>
  <c r="C42" i="1"/>
  <c r="D41" i="1"/>
  <c r="C41" i="1"/>
  <c r="D40" i="1"/>
  <c r="C40" i="1"/>
  <c r="D39" i="1"/>
  <c r="C39" i="1"/>
  <c r="D38" i="1"/>
  <c r="C38" i="1"/>
  <c r="AD31" i="4"/>
  <c r="T31" i="2"/>
  <c r="D4" i="4"/>
  <c r="C4" i="4"/>
  <c r="D3" i="4"/>
  <c r="C3" i="4"/>
  <c r="D2" i="4"/>
  <c r="C2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3" i="4"/>
  <c r="D24" i="4"/>
  <c r="D25" i="4"/>
  <c r="D20" i="4"/>
  <c r="D21" i="4"/>
  <c r="D22" i="4"/>
  <c r="D26" i="4"/>
  <c r="D27" i="4"/>
  <c r="D28" i="4"/>
  <c r="D29" i="4"/>
  <c r="D30" i="4"/>
  <c r="D31" i="4"/>
  <c r="D32" i="4"/>
  <c r="D33" i="4"/>
  <c r="D34" i="4"/>
  <c r="D37" i="4"/>
  <c r="C37" i="4"/>
  <c r="D36" i="4"/>
  <c r="C36" i="4"/>
  <c r="D35" i="4"/>
  <c r="C35" i="4"/>
  <c r="T8" i="5"/>
  <c r="D7" i="5"/>
  <c r="C7" i="5"/>
  <c r="D6" i="5"/>
  <c r="C6" i="5"/>
  <c r="T5" i="5"/>
  <c r="D5" i="5"/>
  <c r="C5" i="5"/>
  <c r="D4" i="5"/>
  <c r="C4" i="5"/>
  <c r="D3" i="5"/>
  <c r="C3" i="5"/>
  <c r="T2" i="5"/>
  <c r="D2" i="5"/>
  <c r="C2" i="5"/>
  <c r="C34" i="4"/>
  <c r="C33" i="4"/>
  <c r="C32" i="4"/>
  <c r="C31" i="4"/>
  <c r="C30" i="4"/>
  <c r="C29" i="4"/>
  <c r="C28" i="4"/>
  <c r="C27" i="4"/>
  <c r="C26" i="4"/>
  <c r="C22" i="4"/>
  <c r="C21" i="4"/>
  <c r="C20" i="4"/>
  <c r="C25" i="4"/>
  <c r="C24" i="4"/>
  <c r="C23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D4" i="3"/>
  <c r="C4" i="3"/>
  <c r="D3" i="3"/>
  <c r="C3" i="3"/>
  <c r="D2" i="3"/>
  <c r="C2" i="3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tc={169AB98E-8914-488B-B22C-DBBBCC125C10}</author>
  </authors>
  <commentList>
    <comment ref="B86" authorId="0" shapeId="0" xr:uid="{169AB98E-8914-488B-B22C-DBBBCC125C10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place diff tinne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" authorId="0" shapeId="0" xr:uid="{00000000-0006-0000-0100-000003000000}">
      <text>
        <r>
          <rPr>
            <sz val="10"/>
            <color rgb="FF000000"/>
            <rFont val="Arial"/>
            <family val="2"/>
            <scheme val="minor"/>
          </rPr>
          <t>should use bottom finder instead of paddle measurements --risk for paddle and not accurate
	-Luisana Rodriguez Sequeira</t>
        </r>
      </text>
    </comment>
    <comment ref="W1" authorId="0" shapeId="0" xr:uid="{00000000-0006-0000-0100-000005000000}">
      <text>
        <r>
          <rPr>
            <sz val="10"/>
            <color rgb="FF000000"/>
            <rFont val="Arial"/>
            <family val="2"/>
            <scheme val="minor"/>
          </rPr>
          <t>not really doing anymore
	-Luisana Rodriguez Sequeira</t>
        </r>
      </text>
    </comment>
    <comment ref="W2" authorId="0" shapeId="0" xr:uid="{00000000-0006-0000-0100-000006000000}">
      <text>
        <r>
          <rPr>
            <sz val="10"/>
            <color rgb="FF000000"/>
            <rFont val="Arial"/>
            <family val="2"/>
            <scheme val="minor"/>
          </rPr>
          <t>only one which is less than PPC... deteriorate with time?--OM
	-Luisana Rodriguez Sequeira</t>
        </r>
      </text>
    </comment>
    <comment ref="A5" authorId="0" shapeId="0" xr:uid="{00000000-0006-0000-0100-000004000000}">
      <text>
        <r>
          <rPr>
            <sz val="10"/>
            <color rgb="FF000000"/>
            <rFont val="Arial"/>
            <family val="2"/>
            <scheme val="minor"/>
          </rPr>
          <t>morning of 11/4 river went down a foot!
	-Luisana Rodriguez Sequeira
nov 1-4 river was up a foot...dam op?
	-Luisana Rodriguez Sequeira</t>
        </r>
      </text>
    </comment>
    <comment ref="E6" authorId="0" shapeId="0" xr:uid="{00000000-0006-0000-0100-000002000000}">
      <text>
        <r>
          <rPr>
            <sz val="10"/>
            <color rgb="FF000000"/>
            <rFont val="Arial"/>
            <family val="2"/>
            <scheme val="minor"/>
          </rPr>
          <t>dont know what happened but doesnt seem accurate; altered in gee
	-Luisana Rodriguez Sequeira
true: 37.19883 N, 80.56541 W
altered now here too
	-Luisana Rodriguez Sequeira</t>
        </r>
      </text>
    </comment>
    <comment ref="E11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screenshot captured old coord not this updated one; altered in gee
	-Luisana Rodriguez Sequeira
true: 37.19794 N, 80.56421 W
altered now noted here
	-Luisana Rodriguez Sequeira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tc={FF10A0BB-B93F-794C-8E80-BA24B01476DA}</author>
    <author>tc={C0855A06-A093-46EE-BA49-DA3BD4EFB7F3}</author>
  </authors>
  <commentList>
    <comment ref="AL17" authorId="0" shapeId="0" xr:uid="{FF10A0BB-B93F-794C-8E80-BA24B01476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julia 25 and 26
</t>
      </text>
    </comment>
    <comment ref="B86" authorId="1" shapeId="0" xr:uid="{C0855A06-A093-46EE-BA49-DA3BD4EFB7F3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place diff tinne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tc={EAF491A2-63BC-EC45-B695-C42EFC82C1CF}</author>
    <author/>
    <author>tc={96AE307A-A329-F544-B7E4-026DABEF5D9C}</author>
    <author>tc={9BA9F922-FD3D-473C-A927-8A5B06FA35C8}</author>
    <author>tc={81F9FD40-054F-4178-BAA3-601897FDC680}</author>
  </authors>
  <commentList>
    <comment ref="A1" authorId="0" shapeId="0" xr:uid="{EAF491A2-63BC-EC45-B695-C42EFC82C1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last updated: 3/12
</t>
      </text>
    </comment>
    <comment ref="A14" authorId="1" shapeId="0" xr:uid="{DC99C1CA-4DDA-4597-9D6A-4F0839EB5EDE}">
      <text>
        <r>
          <rPr>
            <sz val="10"/>
            <color rgb="FF000000"/>
            <rFont val="Arial"/>
            <family val="2"/>
            <scheme val="minor"/>
          </rPr>
          <t>morning of 11/4 river went down a foot!
	-Luisana Rodriguez Sequeira
nov 1-4 river was up a foot...dam op?
	-Luisana Rodriguez Sequeira</t>
        </r>
      </text>
    </comment>
    <comment ref="I26" authorId="2" shapeId="0" xr:uid="{96AE307A-A329-F544-B7E4-026DABEF5D9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julia 25 and 26
</t>
      </text>
    </comment>
    <comment ref="R26" authorId="3" shapeId="0" xr:uid="{9BA9F922-FD3D-473C-A927-8A5B06FA35C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julia 25 and 26
</t>
      </text>
    </comment>
    <comment ref="B95" authorId="4" shapeId="0" xr:uid="{81F9FD40-054F-4178-BAA3-601897FDC680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place diff tinne</t>
      </text>
    </comment>
  </commentList>
</comments>
</file>

<file path=xl/sharedStrings.xml><?xml version="1.0" encoding="utf-8"?>
<sst xmlns="http://schemas.openxmlformats.org/spreadsheetml/2006/main" count="971" uniqueCount="334">
  <si>
    <t>Date</t>
  </si>
  <si>
    <t>SampleID</t>
  </si>
  <si>
    <t>Lat</t>
  </si>
  <si>
    <t>Lon</t>
  </si>
  <si>
    <t>coordinates</t>
  </si>
  <si>
    <t>LRS KeNR-10</t>
  </si>
  <si>
    <t>37.19749 N, 80.56371 W</t>
  </si>
  <si>
    <t>LRS KeNR-11</t>
  </si>
  <si>
    <t>37.19802 N, 80.56428 W</t>
  </si>
  <si>
    <t>LRS KeNR-12</t>
  </si>
  <si>
    <t>37.19819 N, 80.56520 W</t>
  </si>
  <si>
    <t>LRS KeNR-13</t>
  </si>
  <si>
    <t>37.19742 N, 80.56393 W</t>
  </si>
  <si>
    <t>LRS KeNR-14</t>
  </si>
  <si>
    <t>37.19783 N, 80.56441 W</t>
  </si>
  <si>
    <t>LRS KeNR-15</t>
  </si>
  <si>
    <t>37.19832 N, 80.56523 W</t>
  </si>
  <si>
    <t>LRS KeNR-16</t>
  </si>
  <si>
    <t>37.19739 N, 80.56395 W</t>
  </si>
  <si>
    <t>LRS KeNR-17</t>
  </si>
  <si>
    <t>37.19806 N, 80.56455 W</t>
  </si>
  <si>
    <t>LRS KeNR-18</t>
  </si>
  <si>
    <t>37.19818 N, 80.56495 W</t>
  </si>
  <si>
    <t>LRS KeNR-19</t>
  </si>
  <si>
    <t>37.19744 N, 80.56371 W</t>
  </si>
  <si>
    <t>LRS KeNR-20</t>
  </si>
  <si>
    <t>37.19794 N, 80.56421 W</t>
  </si>
  <si>
    <t>LRS KeNR-21</t>
  </si>
  <si>
    <t>37.19862 N, 80.56484 W</t>
  </si>
  <si>
    <t>LRS KeNR-22</t>
  </si>
  <si>
    <t>37.19731 N, 80.56389 W</t>
  </si>
  <si>
    <t>LRS KeNR-23</t>
  </si>
  <si>
    <t>37.19785 N, 80.56477 W</t>
  </si>
  <si>
    <t>LRS KeNR-24</t>
  </si>
  <si>
    <t>37.19842 N, 80.56510 W</t>
  </si>
  <si>
    <t>LRS KeNR-25</t>
  </si>
  <si>
    <t>37.19728 N, 80.56390 W</t>
  </si>
  <si>
    <t>LRS KeNR-26</t>
  </si>
  <si>
    <t>37.19783 N, 80.56490 W</t>
  </si>
  <si>
    <t>LRS KeNR-27</t>
  </si>
  <si>
    <t>37.19842 N, 80.56500 W</t>
  </si>
  <si>
    <t>LRS RaNR-1</t>
  </si>
  <si>
    <t>37.14414 N, 80.56342 W</t>
  </si>
  <si>
    <t>LRS RaNR-2</t>
  </si>
  <si>
    <t>37.14384 N, 80.56283 W</t>
  </si>
  <si>
    <t>LRS RaNR-3</t>
  </si>
  <si>
    <t>37.14347 N, 80.56238 W</t>
  </si>
  <si>
    <t>LRS KeNR-28</t>
  </si>
  <si>
    <t>37.19732 N, 80.56394 W</t>
  </si>
  <si>
    <t>LRS KeNR-29</t>
  </si>
  <si>
    <t>37.19796 N, 80.56475 W</t>
  </si>
  <si>
    <t>LRS KeNR-30</t>
  </si>
  <si>
    <t>37.19850 N, 80.56504 W</t>
  </si>
  <si>
    <t>LRS RaNR-4</t>
  </si>
  <si>
    <t>37.14409 N, 80.56340 W</t>
  </si>
  <si>
    <t>LRS RaNR-5</t>
  </si>
  <si>
    <t>37.14392 N, 80.56286 W</t>
  </si>
  <si>
    <t>LRS RaNR-6</t>
  </si>
  <si>
    <t>37.14350 N, 80.56251 W</t>
  </si>
  <si>
    <t>LRS KeNR-31</t>
  </si>
  <si>
    <t>37.19731 N, 80.56416 W</t>
  </si>
  <si>
    <t>LRS KeNR-32</t>
  </si>
  <si>
    <t>LRS KeNR-33</t>
  </si>
  <si>
    <t>37.19838 N, 80.56520 W</t>
  </si>
  <si>
    <t>LRS KeNR-34</t>
  </si>
  <si>
    <t>37.19740 N, 80.56400 W</t>
  </si>
  <si>
    <t>LRS KeNR-35</t>
  </si>
  <si>
    <t>37.19795 N, 80.56466 W</t>
  </si>
  <si>
    <t>LRS KeNR-36</t>
  </si>
  <si>
    <t>37.19838 N, 80.56508 W</t>
  </si>
  <si>
    <t>LRS RaNR-7</t>
  </si>
  <si>
    <t>37.14409 N, 80.56324 W</t>
  </si>
  <si>
    <t>LRS RaNR-8</t>
  </si>
  <si>
    <t>37.14388 N, 80.56273 W</t>
  </si>
  <si>
    <t>LRS RaNR-9</t>
  </si>
  <si>
    <t>37.14358 N, 80.56254 W</t>
  </si>
  <si>
    <t>LRS RaNR-10</t>
  </si>
  <si>
    <t>37.14408 N, 80.56324 W</t>
  </si>
  <si>
    <t>LRS RaNR-11</t>
  </si>
  <si>
    <t>37.14379 N, 80.56301 W</t>
  </si>
  <si>
    <t>LRS RaNR-12</t>
  </si>
  <si>
    <t>37.14358 N, 80.56242 W</t>
  </si>
  <si>
    <t>LRS KeNR-37</t>
  </si>
  <si>
    <t>37.19757 N, 80.56402 W</t>
  </si>
  <si>
    <t>LRS KeNR-38</t>
  </si>
  <si>
    <t>37.19787 N, 80.56479 W</t>
  </si>
  <si>
    <t>LRS KeNR-39</t>
  </si>
  <si>
    <t>LRS RaNR-13</t>
  </si>
  <si>
    <t>37.14442 N, 80.56249 W</t>
  </si>
  <si>
    <t>LRS RaNR-14</t>
  </si>
  <si>
    <t>37.14343 N, 80.56319 W</t>
  </si>
  <si>
    <t>LRS RaNR-15</t>
  </si>
  <si>
    <t>37.14346 N, 80.56271 W</t>
  </si>
  <si>
    <t>LRS KeNR-40</t>
  </si>
  <si>
    <t>37.19752 N, 80.56391 W</t>
  </si>
  <si>
    <t>LRS KeNR-41</t>
  </si>
  <si>
    <t>37.19775 N, 80.56469 W</t>
  </si>
  <si>
    <t>LRS KeNR-42</t>
  </si>
  <si>
    <t>37.19835 N, 80.56506 W</t>
  </si>
  <si>
    <t>LRS RaNR-16</t>
  </si>
  <si>
    <t>37.14419 N, 80.56308 W</t>
  </si>
  <si>
    <t>LRS RaNR-17</t>
  </si>
  <si>
    <t>37.14426 N, 80.56230 W</t>
  </si>
  <si>
    <t>LRS RaNR-18</t>
  </si>
  <si>
    <t>37.14366 N, 80.56222 W</t>
  </si>
  <si>
    <t>LRS KeNR-43</t>
  </si>
  <si>
    <t>37.19753 N, 80.56397 W</t>
  </si>
  <si>
    <t>LRS KeNR-44</t>
  </si>
  <si>
    <t>37.19913 N, 80.56199 W</t>
  </si>
  <si>
    <t>LRS KeNR-45</t>
  </si>
  <si>
    <t>37.19835 N, 80.56510 W</t>
  </si>
  <si>
    <t>upstream test</t>
  </si>
  <si>
    <t>37.20054 N, 80.55363 W</t>
  </si>
  <si>
    <t>LRS RaNR-19</t>
  </si>
  <si>
    <t>37.14404 N, 80.56342 W</t>
  </si>
  <si>
    <t>LRS RaNR-20</t>
  </si>
  <si>
    <t>37.14388 N, 80.56292 W</t>
  </si>
  <si>
    <t>LRS RaNR-21</t>
  </si>
  <si>
    <t>37.14358 N, 80.56243 W</t>
  </si>
  <si>
    <t>LRS KeNR-46</t>
  </si>
  <si>
    <t>LRS KeNR-47</t>
  </si>
  <si>
    <t>LRS KeNR-48</t>
  </si>
  <si>
    <t>LRS RaNR-22</t>
  </si>
  <si>
    <t>LRS RaNR-23</t>
  </si>
  <si>
    <t>LRS RaNR-24</t>
  </si>
  <si>
    <t>LRS KeNR-49</t>
  </si>
  <si>
    <t>LRS KeNR-50</t>
  </si>
  <si>
    <t>LRS KeNR-51</t>
  </si>
  <si>
    <t>LRS RaNR-25</t>
  </si>
  <si>
    <t>LRS RaNR-26</t>
  </si>
  <si>
    <t>LRS RaNR-27</t>
  </si>
  <si>
    <t>LRS IC1-1</t>
  </si>
  <si>
    <t>LRS IC1-2</t>
  </si>
  <si>
    <t>LRS IC1-3</t>
  </si>
  <si>
    <t>LRS IC1-3.5</t>
  </si>
  <si>
    <t>LRS IC1-4</t>
  </si>
  <si>
    <t>LRS IC1-4.5</t>
  </si>
  <si>
    <t>LRS IC1-5</t>
  </si>
  <si>
    <t>LRS IC1-5.5</t>
  </si>
  <si>
    <t>LRS KeNR-52</t>
  </si>
  <si>
    <t>LRS KeNR-53</t>
  </si>
  <si>
    <t>LRS KeNR-54</t>
  </si>
  <si>
    <t>LRS KeNR-55</t>
  </si>
  <si>
    <t>LRS KeNR-56</t>
  </si>
  <si>
    <t>LRS KeNR-57</t>
  </si>
  <si>
    <t>LRS IC2-1</t>
  </si>
  <si>
    <t>LRS IC2-2</t>
  </si>
  <si>
    <t>LRS IC2-3</t>
  </si>
  <si>
    <t>LRS IC3-1</t>
  </si>
  <si>
    <t>LRS IC3-1.5</t>
  </si>
  <si>
    <t>LRS IC3-2</t>
  </si>
  <si>
    <t>LRS KeNR-58</t>
  </si>
  <si>
    <t>LRS KeNR-59</t>
  </si>
  <si>
    <t>LRS KeNR-60</t>
  </si>
  <si>
    <t>LRS KeNR-61</t>
  </si>
  <si>
    <t>LRS KeNR-62</t>
  </si>
  <si>
    <t>Time taken</t>
  </si>
  <si>
    <t>Temp (C)</t>
  </si>
  <si>
    <t>Pressure (mmHg)</t>
  </si>
  <si>
    <t>DO%</t>
  </si>
  <si>
    <t>DO mg/L</t>
  </si>
  <si>
    <t>SPC</t>
  </si>
  <si>
    <t>TDS</t>
  </si>
  <si>
    <t>Turbidity-FNU</t>
  </si>
  <si>
    <t>Chl-a-ug/L</t>
  </si>
  <si>
    <t>Chl-a-RFU</t>
  </si>
  <si>
    <t>Phycocyanin-RFU</t>
  </si>
  <si>
    <t>Depth</t>
  </si>
  <si>
    <t>Weather Conditions</t>
  </si>
  <si>
    <r>
      <t xml:space="preserve">Discharge (ft3/s) from Radford </t>
    </r>
    <r>
      <rPr>
        <u/>
        <sz val="10"/>
        <color rgb="FF1155CC"/>
        <rFont val="Arial"/>
        <family val="2"/>
      </rPr>
      <t>USGS</t>
    </r>
  </si>
  <si>
    <t>ft^3/s</t>
  </si>
  <si>
    <t>Date filtered. Date counted</t>
  </si>
  <si>
    <t>Plastic particle count</t>
  </si>
  <si>
    <t>Reflective material count</t>
  </si>
  <si>
    <t xml:space="preserve">Mostly cloudy and windy. </t>
  </si>
  <si>
    <t>2:30 - 1140</t>
  </si>
  <si>
    <t>2:45 - 1120</t>
  </si>
  <si>
    <t>3:00 - 1140</t>
  </si>
  <si>
    <t>Sunny/cloudy</t>
  </si>
  <si>
    <t>5:15 - 1120</t>
  </si>
  <si>
    <t>5:30 - 1120</t>
  </si>
  <si>
    <t>5:45 - 1120</t>
  </si>
  <si>
    <t>Sunny; very little wind</t>
  </si>
  <si>
    <t>12:30 - 1140</t>
  </si>
  <si>
    <t>12:45 - 1140</t>
  </si>
  <si>
    <t>1:00 - 1140</t>
  </si>
  <si>
    <t>cloudy; very windy!!</t>
  </si>
  <si>
    <t>12:15 - 1400</t>
  </si>
  <si>
    <t>12:30 - 1360</t>
  </si>
  <si>
    <t>12:45 - 1330</t>
  </si>
  <si>
    <t>Partly cloudy; calm waters</t>
  </si>
  <si>
    <t>10:00 - 2160</t>
  </si>
  <si>
    <t>10:15 - 2160</t>
  </si>
  <si>
    <t>10:30 - 2160</t>
  </si>
  <si>
    <t>2:30 - 1400</t>
  </si>
  <si>
    <t>2:45 - 1400</t>
  </si>
  <si>
    <t>3:00 - 1400</t>
  </si>
  <si>
    <t>12:45 - 6260</t>
  </si>
  <si>
    <t>1:00 - 6220</t>
  </si>
  <si>
    <t>1:15 - 6220</t>
  </si>
  <si>
    <t>2:15 - 6630</t>
  </si>
  <si>
    <t>2:30 - 6800</t>
  </si>
  <si>
    <t>2:45 - 6970</t>
  </si>
  <si>
    <t>1:00 - 2470</t>
  </si>
  <si>
    <t>1:15 - 2370</t>
  </si>
  <si>
    <t>Partly Cloudy; slightly windy waters</t>
  </si>
  <si>
    <t>1:15 - 3050</t>
  </si>
  <si>
    <t>1:30 - 3010</t>
  </si>
  <si>
    <t>1:45 - 2900</t>
  </si>
  <si>
    <t>1:00 - 7810</t>
  </si>
  <si>
    <t>1:15 - 7770</t>
  </si>
  <si>
    <t>Sunny :)</t>
  </si>
  <si>
    <t>12:15 - 3870</t>
  </si>
  <si>
    <t>12:30 - 3870</t>
  </si>
  <si>
    <t>12:45 - 3870</t>
  </si>
  <si>
    <t>12:45 - 5010</t>
  </si>
  <si>
    <t>1:00 - 5130</t>
  </si>
  <si>
    <t>1:45 - 5310</t>
  </si>
  <si>
    <t>2:00 - 5310</t>
  </si>
  <si>
    <t>chl-a (ug/L)</t>
  </si>
  <si>
    <t>Chl-a (RFU)</t>
  </si>
  <si>
    <t>Phycocyanin</t>
  </si>
  <si>
    <t>37.19883 N, 80.56541 W</t>
  </si>
  <si>
    <t>Time_SW</t>
  </si>
  <si>
    <t>Temp_SW</t>
  </si>
  <si>
    <t>Press_SW</t>
  </si>
  <si>
    <t>DO_SW</t>
  </si>
  <si>
    <t>DOmgL_SW</t>
  </si>
  <si>
    <t>SPC_SW</t>
  </si>
  <si>
    <t>TDS_SW</t>
  </si>
  <si>
    <t>Turbidity_SW</t>
  </si>
  <si>
    <t>Chl_ugL_SW</t>
  </si>
  <si>
    <t>Chl_RFU_SW</t>
  </si>
  <si>
    <t>PC_SW</t>
  </si>
  <si>
    <t>Depth_SW</t>
  </si>
  <si>
    <t>Time_DW</t>
  </si>
  <si>
    <t>Temp_DW</t>
  </si>
  <si>
    <t>Press_DW</t>
  </si>
  <si>
    <t>DO_DW</t>
  </si>
  <si>
    <t>DOmgL_DW</t>
  </si>
  <si>
    <t>SPC_DW</t>
  </si>
  <si>
    <t>TDS_DW</t>
  </si>
  <si>
    <t>Turbidity_DW</t>
  </si>
  <si>
    <t>Chl_ugL_DW</t>
  </si>
  <si>
    <t>Chl_RFU_DW</t>
  </si>
  <si>
    <t>PC_DW</t>
  </si>
  <si>
    <t>Depth_DW</t>
  </si>
  <si>
    <t>Discharge</t>
  </si>
  <si>
    <t>TurbMean</t>
  </si>
  <si>
    <t>Stage</t>
  </si>
  <si>
    <t>37.19838 N, 80.56508, W</t>
  </si>
  <si>
    <t>LRS KeNR-63</t>
  </si>
  <si>
    <t>LRS KeNR-64</t>
  </si>
  <si>
    <t>LRS KeNR-65</t>
  </si>
  <si>
    <t>LRS KeNR-66</t>
  </si>
  <si>
    <t>LRS KeNR-67</t>
  </si>
  <si>
    <t>LRS KeNR-68</t>
  </si>
  <si>
    <t>Sample ID</t>
  </si>
  <si>
    <t>LR-1</t>
  </si>
  <si>
    <t>LR-2</t>
  </si>
  <si>
    <t>S-1</t>
  </si>
  <si>
    <t>S-2</t>
  </si>
  <si>
    <t>J-1</t>
  </si>
  <si>
    <t>J-2</t>
  </si>
  <si>
    <t>extra</t>
  </si>
  <si>
    <t>avg</t>
  </si>
  <si>
    <t>LRS KeNR-1</t>
  </si>
  <si>
    <t>LRS KeNR-2</t>
  </si>
  <si>
    <t>LRS KeNR-3</t>
  </si>
  <si>
    <t>LRS KeNR-4</t>
  </si>
  <si>
    <t>LRS KeNR-5</t>
  </si>
  <si>
    <t>LRS KeNR-6</t>
  </si>
  <si>
    <t>LRS KeNR-7</t>
  </si>
  <si>
    <t>LRS KeNR-8</t>
  </si>
  <si>
    <t>LRS KeNR-9</t>
  </si>
  <si>
    <t>Estimated depth of water</t>
  </si>
  <si>
    <t xml:space="preserve">Chl-a </t>
  </si>
  <si>
    <t>NR MP flux LRS-1</t>
  </si>
  <si>
    <t>37.19765 N, 80.56376 W</t>
  </si>
  <si>
    <t>need to bring in measuring tape to put readings into measurements</t>
  </si>
  <si>
    <t>Cloudy. Rained .14in day of, and .29 in the day before</t>
  </si>
  <si>
    <t>4:00pm - 1910</t>
  </si>
  <si>
    <t>NR MP flux LRS-2</t>
  </si>
  <si>
    <t>37.19810 N, 80.56451 W</t>
  </si>
  <si>
    <t>4:15pm - 1860</t>
  </si>
  <si>
    <t>NR MP flux LRS-3</t>
  </si>
  <si>
    <t>37.19823 N, 80.56498 W</t>
  </si>
  <si>
    <t>NR MP flux LRS-4</t>
  </si>
  <si>
    <t>37.19753 N, 80.56375 W</t>
  </si>
  <si>
    <t>(Partly) cloudy. Rained .31in the day before</t>
  </si>
  <si>
    <t>11:00 - 1350</t>
  </si>
  <si>
    <t>NR MP flux LRS-5</t>
  </si>
  <si>
    <t>37.19790 N, 80.56466 W</t>
  </si>
  <si>
    <t>11:15 - 1330</t>
  </si>
  <si>
    <t>NR MP flux LRS-6</t>
  </si>
  <si>
    <t>37.19819 N, 80.56494 W</t>
  </si>
  <si>
    <t>11:30 - 1280</t>
  </si>
  <si>
    <t>NR MP flux LRS-7</t>
  </si>
  <si>
    <t>phone died</t>
  </si>
  <si>
    <t>5:30 - 1220</t>
  </si>
  <si>
    <t>NR MP flux LRS-8</t>
  </si>
  <si>
    <t>5:45 - 1220</t>
  </si>
  <si>
    <t>NR MP flux LRS-9</t>
  </si>
  <si>
    <t>phone died**</t>
  </si>
  <si>
    <t>6:00 - 1240</t>
  </si>
  <si>
    <t>discharge</t>
  </si>
  <si>
    <t>stage</t>
  </si>
  <si>
    <t>sample#</t>
  </si>
  <si>
    <t>power</t>
  </si>
  <si>
    <t>material</t>
  </si>
  <si>
    <t>Plastic</t>
  </si>
  <si>
    <t>r</t>
  </si>
  <si>
    <t>LRS</t>
  </si>
  <si>
    <t>KNR-45</t>
  </si>
  <si>
    <t>muirite</t>
  </si>
  <si>
    <t>No</t>
  </si>
  <si>
    <t>cobaltlotharmeyerite</t>
  </si>
  <si>
    <t>polyacrylamide</t>
  </si>
  <si>
    <t>yes</t>
  </si>
  <si>
    <t>stilpnomelane</t>
  </si>
  <si>
    <t>no</t>
  </si>
  <si>
    <t>KNR-43</t>
  </si>
  <si>
    <t>parts</t>
  </si>
  <si>
    <t>all bad rs</t>
  </si>
  <si>
    <t>FDI</t>
  </si>
  <si>
    <t>uralborite</t>
  </si>
  <si>
    <t>hambergite</t>
  </si>
  <si>
    <t>meyerhofferite</t>
  </si>
  <si>
    <t>mineral/polyamide</t>
  </si>
  <si>
    <t>mineral</t>
  </si>
  <si>
    <t>1--outisde water</t>
  </si>
  <si>
    <t>2-- 45 in water</t>
  </si>
  <si>
    <t>3--90 in water</t>
  </si>
  <si>
    <t>4--45 in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</si>
</sst>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"/>
    <numFmt numFmtId="166" formatCode="m/d"/>
    <numFmt numFmtId="167" formatCode="#,##0.000"/>
    <numFmt numFmtId="168" formatCode="0.000"/>
    <numFmt numFmtId="169" formatCode="[$-F400]h:mm:ss\ AM/PM"/>
  </numFmts>
  <fonts count="1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1F1F1F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</font>
    <font>
      <sz val="10"/>
      <color rgb="FFFFFFFF"/>
      <name val="Courier New"/>
      <family val="1"/>
    </font>
    <font>
      <sz val="11"/>
      <color rgb="FF000000"/>
      <name val="Courier New"/>
      <family val="1"/>
    </font>
  </fonts>
  <fills count="7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 applyAlignment="1">
      <alignment horizontal="right"/>
    </xf>
    <xf numFmtId="14" fontId="1" fillId="2" borderId="0" xfId="0" applyNumberFormat="1" applyFont="1" applyFill="1"/>
    <xf numFmtId="0" fontId="1" fillId="3" borderId="0" xfId="0" applyFont="1" applyFill="1"/>
    <xf numFmtId="14" fontId="2" fillId="4" borderId="0" xfId="0" applyNumberFormat="1" applyFont="1" applyFill="1"/>
    <xf numFmtId="14" fontId="2" fillId="2" borderId="0" xfId="0" applyNumberFormat="1" applyFont="1" applyFill="1"/>
    <xf numFmtId="0" fontId="3" fillId="5" borderId="0" xfId="0" applyFont="1" applyFill="1" applyAlignment="1">
      <alignment horizontal="left"/>
    </xf>
    <xf numFmtId="0" fontId="3" fillId="5" borderId="0" xfId="0" applyFont="1" applyFill="1"/>
    <xf numFmtId="0" fontId="1" fillId="0" borderId="0" xfId="0" applyFont="1" applyAlignment="1">
      <alignment horizontal="right"/>
    </xf>
    <xf numFmtId="164" fontId="1" fillId="0" borderId="0" xfId="0" applyNumberFormat="1" applyFont="1"/>
    <xf numFmtId="0" fontId="4" fillId="0" borderId="0" xfId="0" applyFont="1"/>
    <xf numFmtId="20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0" fontId="1" fillId="6" borderId="0" xfId="0" applyFont="1" applyFill="1"/>
    <xf numFmtId="20" fontId="0" fillId="0" borderId="0" xfId="0" applyNumberFormat="1"/>
    <xf numFmtId="20" fontId="1" fillId="0" borderId="0" xfId="0" applyNumberFormat="1" applyFont="1" applyAlignment="1">
      <alignment horizontal="center"/>
    </xf>
    <xf numFmtId="1" fontId="1" fillId="0" borderId="0" xfId="0" applyNumberFormat="1" applyFont="1"/>
    <xf numFmtId="1" fontId="0" fillId="0" borderId="0" xfId="0" applyNumberFormat="1"/>
    <xf numFmtId="20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20" fontId="6" fillId="0" borderId="0" xfId="0" applyNumberFormat="1" applyFont="1" applyAlignment="1">
      <alignment horizontal="center"/>
    </xf>
    <xf numFmtId="0" fontId="2" fillId="0" borderId="0" xfId="0" applyFont="1"/>
    <xf numFmtId="14" fontId="0" fillId="0" borderId="0" xfId="0" applyNumberFormat="1"/>
    <xf numFmtId="168" fontId="1" fillId="0" borderId="0" xfId="0" applyNumberFormat="1" applyFont="1"/>
    <xf numFmtId="14" fontId="2" fillId="0" borderId="0" xfId="0" applyNumberFormat="1" applyFont="1"/>
    <xf numFmtId="0" fontId="8" fillId="0" borderId="0" xfId="0" applyFont="1"/>
    <xf numFmtId="164" fontId="0" fillId="0" borderId="0" xfId="0" applyNumberFormat="1"/>
    <xf numFmtId="0" fontId="9" fillId="0" borderId="0" xfId="0" applyFont="1"/>
    <xf numFmtId="0" fontId="10" fillId="0" borderId="0" xfId="0" applyFont="1"/>
    <xf numFmtId="2" fontId="0" fillId="0" borderId="0" xfId="0" applyNumberFormat="1"/>
    <xf numFmtId="169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driguez Sequeira, Luisana" id="{6C21D887-BBC4-8F4E-AB52-4F3E1A5C5F8E}" userId="S::lrs@vt.edu::c5ab724e-15f1-47e6-a0b4-3c0882d22d55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86" dT="2024-07-09T13:00:33.21" personId="{6C21D887-BBC4-8F4E-AB52-4F3E1A5C5F8E}" id="{169AB98E-8914-488B-B22C-DBBBCC125C10}">
    <text>same place diff tinne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L17" dT="2024-03-13T04:24:54.22" personId="{6C21D887-BBC4-8F4E-AB52-4F3E1A5C5F8E}" id="{FF10A0BB-B93F-794C-8E80-BA24B01476DA}">
    <text xml:space="preserve">julia 25 and 26
</text>
  </threadedComment>
  <threadedComment ref="B86" dT="2024-07-09T13:00:33.21" personId="{6C21D887-BBC4-8F4E-AB52-4F3E1A5C5F8E}" id="{C0855A06-A093-46EE-BA49-DA3BD4EFB7F3}">
    <text>same place diff tinne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4-03-13T04:26:24.03" personId="{6C21D887-BBC4-8F4E-AB52-4F3E1A5C5F8E}" id="{EAF491A2-63BC-EC45-B695-C42EFC82C1CF}">
    <text xml:space="preserve">last updated: 3/12
</text>
  </threadedComment>
  <threadedComment ref="I26" dT="2024-03-13T04:24:54.22" personId="{6C21D887-BBC4-8F4E-AB52-4F3E1A5C5F8E}" id="{96AE307A-A329-F544-B7E4-026DABEF5D9C}">
    <text xml:space="preserve">julia 25 and 26
</text>
  </threadedComment>
  <threadedComment ref="R26" dT="2024-03-13T04:24:54.22" personId="{6C21D887-BBC4-8F4E-AB52-4F3E1A5C5F8E}" id="{9BA9F922-FD3D-473C-A927-8A5B06FA35C8}">
    <text xml:space="preserve">julia 25 and 26
</text>
  </threadedComment>
  <threadedComment ref="B95" dT="2024-07-09T13:00:33.21" personId="{6C21D887-BBC4-8F4E-AB52-4F3E1A5C5F8E}" id="{81F9FD40-054F-4178-BAA3-601897FDC680}">
    <text>same place diff tinne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waterdata.usgs.gov/monitoring-location/03171000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aterdata.usgs.gov/monitoring-location/031710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6"/>
  <sheetViews>
    <sheetView topLeftCell="A70" workbookViewId="0">
      <selection activeCell="C105" sqref="C105"/>
    </sheetView>
  </sheetViews>
  <sheetFormatPr baseColWidth="10" defaultColWidth="12.5" defaultRowHeight="15.75" customHeight="1" x14ac:dyDescent="0.15"/>
  <cols>
    <col min="2" max="2" width="17.5" customWidth="1"/>
    <col min="5" max="5" width="22.33203125" bestFit="1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15">
      <c r="A2" s="2">
        <v>45221</v>
      </c>
      <c r="B2" s="1" t="s">
        <v>5</v>
      </c>
      <c r="C2" s="3" t="str">
        <f t="shared" ref="C2:C38" si="0">LEFT(E2, 8)</f>
        <v>37.19749</v>
      </c>
      <c r="D2" s="3">
        <f t="shared" ref="D2:D38" si="1">MID(E2, 13, 8) *-1</f>
        <v>-80.56371</v>
      </c>
      <c r="E2" s="1" t="s">
        <v>6</v>
      </c>
    </row>
    <row r="3" spans="1:5" ht="15.75" customHeight="1" x14ac:dyDescent="0.15">
      <c r="A3" s="2">
        <v>45221</v>
      </c>
      <c r="B3" s="1" t="s">
        <v>7</v>
      </c>
      <c r="C3" s="3" t="str">
        <f t="shared" si="0"/>
        <v>37.19802</v>
      </c>
      <c r="D3" s="3">
        <f t="shared" si="1"/>
        <v>-80.564279999999997</v>
      </c>
      <c r="E3" s="1" t="s">
        <v>8</v>
      </c>
    </row>
    <row r="4" spans="1:5" ht="15.75" customHeight="1" x14ac:dyDescent="0.15">
      <c r="A4" s="4">
        <v>45221</v>
      </c>
      <c r="B4" s="1" t="s">
        <v>9</v>
      </c>
      <c r="C4" s="3" t="str">
        <f t="shared" si="0"/>
        <v>37.19819</v>
      </c>
      <c r="D4" s="3">
        <f t="shared" si="1"/>
        <v>-80.565200000000004</v>
      </c>
      <c r="E4" s="1" t="s">
        <v>10</v>
      </c>
    </row>
    <row r="5" spans="1:5" ht="15.75" customHeight="1" x14ac:dyDescent="0.15">
      <c r="A5" s="2">
        <v>45238</v>
      </c>
      <c r="B5" s="1" t="s">
        <v>11</v>
      </c>
      <c r="C5" s="3" t="str">
        <f t="shared" si="0"/>
        <v>37.19742</v>
      </c>
      <c r="D5" s="3">
        <f t="shared" si="1"/>
        <v>-80.563929999999999</v>
      </c>
      <c r="E5" s="1" t="s">
        <v>12</v>
      </c>
    </row>
    <row r="6" spans="1:5" ht="15.75" customHeight="1" x14ac:dyDescent="0.15">
      <c r="A6" s="2">
        <v>45238</v>
      </c>
      <c r="B6" s="1" t="s">
        <v>13</v>
      </c>
      <c r="C6" s="3" t="str">
        <f t="shared" si="0"/>
        <v>37.19783</v>
      </c>
      <c r="D6" s="3">
        <f t="shared" si="1"/>
        <v>-80.564409999999995</v>
      </c>
      <c r="E6" s="5" t="s">
        <v>14</v>
      </c>
    </row>
    <row r="7" spans="1:5" ht="15.75" customHeight="1" x14ac:dyDescent="0.15">
      <c r="A7" s="6">
        <v>45238</v>
      </c>
      <c r="B7" s="1" t="s">
        <v>15</v>
      </c>
      <c r="C7" s="3" t="str">
        <f t="shared" si="0"/>
        <v>37.19832</v>
      </c>
      <c r="D7" s="3">
        <f t="shared" si="1"/>
        <v>-80.56523</v>
      </c>
      <c r="E7" s="1" t="s">
        <v>16</v>
      </c>
    </row>
    <row r="8" spans="1:5" ht="15.75" customHeight="1" x14ac:dyDescent="0.15">
      <c r="A8" s="2">
        <v>45241</v>
      </c>
      <c r="B8" s="1" t="s">
        <v>17</v>
      </c>
      <c r="C8" s="3" t="str">
        <f t="shared" si="0"/>
        <v>37.19739</v>
      </c>
      <c r="D8" s="3">
        <f t="shared" si="1"/>
        <v>-80.563950000000006</v>
      </c>
      <c r="E8" s="1" t="s">
        <v>18</v>
      </c>
    </row>
    <row r="9" spans="1:5" ht="15.75" customHeight="1" x14ac:dyDescent="0.15">
      <c r="A9" s="2">
        <v>45241</v>
      </c>
      <c r="B9" s="1" t="s">
        <v>19</v>
      </c>
      <c r="C9" s="3" t="str">
        <f t="shared" si="0"/>
        <v>37.19806</v>
      </c>
      <c r="D9" s="3">
        <f t="shared" si="1"/>
        <v>-80.564549999999997</v>
      </c>
      <c r="E9" s="1" t="s">
        <v>20</v>
      </c>
    </row>
    <row r="10" spans="1:5" ht="15.75" customHeight="1" x14ac:dyDescent="0.15">
      <c r="A10" s="7">
        <v>45241</v>
      </c>
      <c r="B10" s="1" t="s">
        <v>21</v>
      </c>
      <c r="C10" s="3" t="str">
        <f t="shared" si="0"/>
        <v>37.19818</v>
      </c>
      <c r="D10" s="3">
        <f t="shared" si="1"/>
        <v>-80.564949999999996</v>
      </c>
      <c r="E10" s="1" t="s">
        <v>22</v>
      </c>
    </row>
    <row r="11" spans="1:5" ht="15.75" customHeight="1" x14ac:dyDescent="0.15">
      <c r="A11" s="2">
        <v>45263</v>
      </c>
      <c r="B11" s="1" t="s">
        <v>23</v>
      </c>
      <c r="C11" s="3" t="str">
        <f t="shared" si="0"/>
        <v>37.19744</v>
      </c>
      <c r="D11" s="3">
        <f t="shared" si="1"/>
        <v>-80.56371</v>
      </c>
      <c r="E11" s="5" t="s">
        <v>24</v>
      </c>
    </row>
    <row r="12" spans="1:5" ht="15.75" customHeight="1" x14ac:dyDescent="0.15">
      <c r="A12" s="2">
        <v>45263</v>
      </c>
      <c r="B12" s="1" t="s">
        <v>25</v>
      </c>
      <c r="C12" s="3" t="str">
        <f t="shared" si="0"/>
        <v>37.19794</v>
      </c>
      <c r="D12" s="3">
        <f t="shared" si="1"/>
        <v>-80.564210000000003</v>
      </c>
      <c r="E12" s="1" t="s">
        <v>26</v>
      </c>
    </row>
    <row r="13" spans="1:5" ht="15.75" customHeight="1" x14ac:dyDescent="0.15">
      <c r="A13" s="2">
        <v>45263</v>
      </c>
      <c r="B13" s="1" t="s">
        <v>27</v>
      </c>
      <c r="C13" s="3" t="str">
        <f t="shared" si="0"/>
        <v>37.19862</v>
      </c>
      <c r="D13" s="3">
        <f t="shared" si="1"/>
        <v>-80.564840000000004</v>
      </c>
      <c r="E13" s="1" t="s">
        <v>28</v>
      </c>
    </row>
    <row r="14" spans="1:5" ht="15.75" customHeight="1" x14ac:dyDescent="0.15">
      <c r="A14" s="2">
        <v>45265</v>
      </c>
      <c r="B14" s="1" t="s">
        <v>29</v>
      </c>
      <c r="C14" s="3" t="str">
        <f t="shared" si="0"/>
        <v>37.19731</v>
      </c>
      <c r="D14" s="3">
        <f t="shared" si="1"/>
        <v>-80.563890000000001</v>
      </c>
      <c r="E14" s="1" t="s">
        <v>30</v>
      </c>
    </row>
    <row r="15" spans="1:5" ht="15.75" customHeight="1" x14ac:dyDescent="0.15">
      <c r="A15" s="2">
        <v>45265</v>
      </c>
      <c r="B15" s="1" t="s">
        <v>31</v>
      </c>
      <c r="C15" s="3" t="str">
        <f t="shared" si="0"/>
        <v>37.19785</v>
      </c>
      <c r="D15" s="3">
        <f t="shared" si="1"/>
        <v>-80.564769999999996</v>
      </c>
      <c r="E15" s="1" t="s">
        <v>32</v>
      </c>
    </row>
    <row r="16" spans="1:5" ht="15.75" customHeight="1" x14ac:dyDescent="0.15">
      <c r="A16" s="4">
        <v>45265</v>
      </c>
      <c r="B16" s="1" t="s">
        <v>33</v>
      </c>
      <c r="C16" s="3" t="str">
        <f t="shared" si="0"/>
        <v>37.19842</v>
      </c>
      <c r="D16" s="3">
        <f t="shared" si="1"/>
        <v>-80.565100000000001</v>
      </c>
      <c r="E16" s="1" t="s">
        <v>34</v>
      </c>
    </row>
    <row r="17" spans="1:5" ht="15.75" customHeight="1" x14ac:dyDescent="0.15">
      <c r="A17" s="2">
        <v>45312</v>
      </c>
      <c r="B17" s="1" t="s">
        <v>35</v>
      </c>
      <c r="C17" s="3" t="str">
        <f t="shared" si="0"/>
        <v>37.19728</v>
      </c>
      <c r="D17" s="3">
        <f t="shared" si="1"/>
        <v>-80.563900000000004</v>
      </c>
      <c r="E17" s="1" t="s">
        <v>36</v>
      </c>
    </row>
    <row r="18" spans="1:5" ht="15.75" customHeight="1" x14ac:dyDescent="0.15">
      <c r="A18" s="2">
        <v>45312</v>
      </c>
      <c r="B18" s="1" t="s">
        <v>37</v>
      </c>
      <c r="C18" s="3" t="str">
        <f t="shared" si="0"/>
        <v>37.19783</v>
      </c>
      <c r="D18" s="3">
        <f t="shared" si="1"/>
        <v>-80.564899999999994</v>
      </c>
      <c r="E18" s="1" t="s">
        <v>38</v>
      </c>
    </row>
    <row r="19" spans="1:5" ht="15.75" customHeight="1" x14ac:dyDescent="0.15">
      <c r="A19" s="2">
        <v>45312</v>
      </c>
      <c r="B19" s="1" t="s">
        <v>39</v>
      </c>
      <c r="C19" s="3" t="str">
        <f t="shared" si="0"/>
        <v>37.19842</v>
      </c>
      <c r="D19" s="3">
        <f t="shared" si="1"/>
        <v>-80.564999999999998</v>
      </c>
      <c r="E19" s="1" t="s">
        <v>40</v>
      </c>
    </row>
    <row r="20" spans="1:5" ht="15.75" customHeight="1" x14ac:dyDescent="0.15">
      <c r="A20" s="2">
        <v>45321</v>
      </c>
      <c r="B20" s="1" t="s">
        <v>41</v>
      </c>
      <c r="C20" s="3" t="str">
        <f t="shared" si="0"/>
        <v>37.14414</v>
      </c>
      <c r="D20" s="3">
        <f t="shared" si="1"/>
        <v>-80.563419999999994</v>
      </c>
      <c r="E20" s="1" t="s">
        <v>42</v>
      </c>
    </row>
    <row r="21" spans="1:5" ht="15.75" customHeight="1" x14ac:dyDescent="0.15">
      <c r="A21" s="2">
        <v>45321</v>
      </c>
      <c r="B21" s="1" t="s">
        <v>43</v>
      </c>
      <c r="C21" s="3" t="str">
        <f t="shared" si="0"/>
        <v>37.14384</v>
      </c>
      <c r="D21" s="3">
        <f t="shared" si="1"/>
        <v>-80.562830000000005</v>
      </c>
      <c r="E21" s="1" t="s">
        <v>44</v>
      </c>
    </row>
    <row r="22" spans="1:5" ht="15.75" customHeight="1" x14ac:dyDescent="0.15">
      <c r="A22" s="2">
        <v>45321</v>
      </c>
      <c r="B22" s="1" t="s">
        <v>45</v>
      </c>
      <c r="C22" s="3" t="str">
        <f t="shared" si="0"/>
        <v>37.14347</v>
      </c>
      <c r="D22" s="3">
        <f t="shared" si="1"/>
        <v>-80.562380000000005</v>
      </c>
      <c r="E22" s="1" t="s">
        <v>46</v>
      </c>
    </row>
    <row r="23" spans="1:5" ht="15.75" customHeight="1" x14ac:dyDescent="0.15">
      <c r="A23" s="2">
        <v>45321</v>
      </c>
      <c r="B23" s="1" t="s">
        <v>47</v>
      </c>
      <c r="C23" s="3" t="str">
        <f t="shared" si="0"/>
        <v>37.19732</v>
      </c>
      <c r="D23" s="3">
        <f t="shared" si="1"/>
        <v>-80.563940000000002</v>
      </c>
      <c r="E23" s="1" t="s">
        <v>48</v>
      </c>
    </row>
    <row r="24" spans="1:5" ht="15.75" customHeight="1" x14ac:dyDescent="0.15">
      <c r="A24" s="2">
        <v>45321</v>
      </c>
      <c r="B24" s="1" t="s">
        <v>49</v>
      </c>
      <c r="C24" s="3" t="str">
        <f t="shared" si="0"/>
        <v>37.19796</v>
      </c>
      <c r="D24" s="3">
        <f t="shared" si="1"/>
        <v>-80.564750000000004</v>
      </c>
      <c r="E24" s="1" t="s">
        <v>50</v>
      </c>
    </row>
    <row r="25" spans="1:5" ht="15.75" customHeight="1" x14ac:dyDescent="0.15">
      <c r="A25" s="2">
        <v>45321</v>
      </c>
      <c r="B25" s="1" t="s">
        <v>51</v>
      </c>
      <c r="C25" s="3" t="str">
        <f t="shared" si="0"/>
        <v>37.19850</v>
      </c>
      <c r="D25" s="3">
        <f t="shared" si="1"/>
        <v>-80.565039999999996</v>
      </c>
      <c r="E25" s="1" t="s">
        <v>52</v>
      </c>
    </row>
    <row r="26" spans="1:5" ht="15.75" customHeight="1" x14ac:dyDescent="0.15">
      <c r="A26" s="2">
        <v>45326</v>
      </c>
      <c r="B26" s="1" t="s">
        <v>53</v>
      </c>
      <c r="C26" s="3" t="str">
        <f t="shared" si="0"/>
        <v>37.14409</v>
      </c>
      <c r="D26" s="3">
        <f t="shared" si="1"/>
        <v>-80.563400000000001</v>
      </c>
      <c r="E26" s="1" t="s">
        <v>54</v>
      </c>
    </row>
    <row r="27" spans="1:5" ht="15.75" customHeight="1" x14ac:dyDescent="0.15">
      <c r="A27" s="2">
        <v>45326</v>
      </c>
      <c r="B27" s="1" t="s">
        <v>55</v>
      </c>
      <c r="C27" s="3" t="str">
        <f t="shared" si="0"/>
        <v>37.14392</v>
      </c>
      <c r="D27" s="3">
        <f t="shared" si="1"/>
        <v>-80.562860000000001</v>
      </c>
      <c r="E27" s="1" t="s">
        <v>56</v>
      </c>
    </row>
    <row r="28" spans="1:5" ht="15.75" customHeight="1" x14ac:dyDescent="0.15">
      <c r="A28" s="2">
        <v>45326</v>
      </c>
      <c r="B28" s="1" t="s">
        <v>57</v>
      </c>
      <c r="C28" s="3" t="str">
        <f t="shared" si="0"/>
        <v>37.14350</v>
      </c>
      <c r="D28" s="3">
        <f t="shared" si="1"/>
        <v>-80.562510000000003</v>
      </c>
      <c r="E28" s="1" t="s">
        <v>58</v>
      </c>
    </row>
    <row r="29" spans="1:5" ht="15.75" customHeight="1" x14ac:dyDescent="0.15">
      <c r="A29" s="2">
        <v>45330</v>
      </c>
      <c r="B29" s="1" t="s">
        <v>59</v>
      </c>
      <c r="C29" s="3" t="str">
        <f t="shared" si="0"/>
        <v>37.19731</v>
      </c>
      <c r="D29" s="3">
        <f t="shared" si="1"/>
        <v>-80.564160000000001</v>
      </c>
      <c r="E29" s="1" t="s">
        <v>60</v>
      </c>
    </row>
    <row r="30" spans="1:5" ht="15.75" customHeight="1" x14ac:dyDescent="0.15">
      <c r="A30" s="2">
        <v>45330</v>
      </c>
      <c r="B30" s="1" t="s">
        <v>61</v>
      </c>
      <c r="C30" s="3" t="str">
        <f t="shared" si="0"/>
        <v>37.19731</v>
      </c>
      <c r="D30" s="3">
        <f t="shared" si="1"/>
        <v>-80.564160000000001</v>
      </c>
      <c r="E30" s="5" t="s">
        <v>60</v>
      </c>
    </row>
    <row r="31" spans="1:5" ht="15.75" customHeight="1" x14ac:dyDescent="0.15">
      <c r="A31" s="2">
        <v>45330</v>
      </c>
      <c r="B31" s="1" t="s">
        <v>62</v>
      </c>
      <c r="C31" s="3" t="str">
        <f t="shared" si="0"/>
        <v>37.19838</v>
      </c>
      <c r="D31" s="3">
        <f t="shared" si="1"/>
        <v>-80.565200000000004</v>
      </c>
      <c r="E31" s="1" t="s">
        <v>63</v>
      </c>
    </row>
    <row r="32" spans="1:5" ht="15.75" customHeight="1" x14ac:dyDescent="0.15">
      <c r="A32" s="2">
        <v>45336</v>
      </c>
      <c r="B32" s="1" t="s">
        <v>64</v>
      </c>
      <c r="C32" s="3" t="str">
        <f t="shared" si="0"/>
        <v>37.19740</v>
      </c>
      <c r="D32" s="3">
        <f t="shared" si="1"/>
        <v>-80.563999999999993</v>
      </c>
      <c r="E32" s="8" t="s">
        <v>65</v>
      </c>
    </row>
    <row r="33" spans="1:5" ht="15.75" customHeight="1" x14ac:dyDescent="0.15">
      <c r="A33" s="2">
        <v>45336</v>
      </c>
      <c r="B33" s="1" t="s">
        <v>66</v>
      </c>
      <c r="C33" s="3" t="str">
        <f t="shared" si="0"/>
        <v>37.19795</v>
      </c>
      <c r="D33" s="3">
        <f t="shared" si="1"/>
        <v>-80.564660000000003</v>
      </c>
      <c r="E33" s="9" t="s">
        <v>67</v>
      </c>
    </row>
    <row r="34" spans="1:5" ht="15.75" customHeight="1" x14ac:dyDescent="0.15">
      <c r="A34" s="2">
        <v>45336</v>
      </c>
      <c r="B34" s="1" t="s">
        <v>68</v>
      </c>
      <c r="C34" s="3" t="str">
        <f t="shared" si="0"/>
        <v>37.19838</v>
      </c>
      <c r="D34" s="3">
        <f t="shared" si="1"/>
        <v>-80.565079999999995</v>
      </c>
      <c r="E34" s="9" t="s">
        <v>69</v>
      </c>
    </row>
    <row r="35" spans="1:5" ht="15.75" customHeight="1" x14ac:dyDescent="0.15">
      <c r="A35" s="2">
        <v>45347</v>
      </c>
      <c r="B35" s="1" t="s">
        <v>70</v>
      </c>
      <c r="C35" s="3" t="str">
        <f t="shared" si="0"/>
        <v>37.14409</v>
      </c>
      <c r="D35" s="3">
        <f t="shared" si="1"/>
        <v>-80.563239999999993</v>
      </c>
      <c r="E35" s="1" t="s">
        <v>71</v>
      </c>
    </row>
    <row r="36" spans="1:5" ht="15.75" customHeight="1" x14ac:dyDescent="0.15">
      <c r="A36" s="2">
        <v>45347</v>
      </c>
      <c r="B36" s="1" t="s">
        <v>72</v>
      </c>
      <c r="C36" s="10" t="str">
        <f t="shared" si="0"/>
        <v>37.14388</v>
      </c>
      <c r="D36" s="11">
        <f t="shared" si="1"/>
        <v>-80.562730000000002</v>
      </c>
      <c r="E36" s="1" t="s">
        <v>73</v>
      </c>
    </row>
    <row r="37" spans="1:5" ht="15.75" customHeight="1" x14ac:dyDescent="0.15">
      <c r="A37" s="2">
        <v>45347</v>
      </c>
      <c r="B37" s="1" t="s">
        <v>74</v>
      </c>
      <c r="C37" s="10" t="str">
        <f t="shared" si="0"/>
        <v>37.14358</v>
      </c>
      <c r="D37" s="11">
        <f t="shared" si="1"/>
        <v>-80.562539999999998</v>
      </c>
      <c r="E37" s="1" t="s">
        <v>75</v>
      </c>
    </row>
    <row r="38" spans="1:5" ht="15.75" customHeight="1" x14ac:dyDescent="0.15">
      <c r="A38" s="2">
        <v>45356</v>
      </c>
      <c r="B38" s="1" t="s">
        <v>76</v>
      </c>
      <c r="C38" s="10" t="str">
        <f t="shared" si="0"/>
        <v>37.14408</v>
      </c>
      <c r="D38" s="11">
        <f t="shared" si="1"/>
        <v>-80.563239999999993</v>
      </c>
      <c r="E38" s="9" t="s">
        <v>77</v>
      </c>
    </row>
    <row r="39" spans="1:5" ht="15.75" customHeight="1" x14ac:dyDescent="0.15">
      <c r="A39" s="2">
        <v>45356</v>
      </c>
      <c r="B39" s="1" t="s">
        <v>78</v>
      </c>
      <c r="C39" s="10" t="str">
        <f>LEFT(E39,8)</f>
        <v>37.14379</v>
      </c>
      <c r="D39" s="11">
        <f>MID(E39, 13, 9) *-1</f>
        <v>-80.563010000000006</v>
      </c>
      <c r="E39" s="9" t="s">
        <v>79</v>
      </c>
    </row>
    <row r="40" spans="1:5" ht="15.75" customHeight="1" x14ac:dyDescent="0.15">
      <c r="A40" s="2">
        <v>45356</v>
      </c>
      <c r="B40" s="1" t="s">
        <v>80</v>
      </c>
      <c r="C40" s="10" t="str">
        <f t="shared" ref="C40:C56" si="2">LEFT(E40, 8)</f>
        <v>37.14358</v>
      </c>
      <c r="D40" s="11">
        <f t="shared" ref="D40:D56" si="3">MID(E40, 13, 8) *-1</f>
        <v>-80.562420000000003</v>
      </c>
      <c r="E40" s="9" t="s">
        <v>81</v>
      </c>
    </row>
    <row r="41" spans="1:5" ht="15.75" customHeight="1" x14ac:dyDescent="0.15">
      <c r="A41" s="2">
        <v>45356</v>
      </c>
      <c r="B41" s="1" t="s">
        <v>82</v>
      </c>
      <c r="C41" s="10" t="str">
        <f t="shared" si="2"/>
        <v>37.19757</v>
      </c>
      <c r="D41" s="11">
        <f t="shared" si="3"/>
        <v>-80.564019999999999</v>
      </c>
      <c r="E41" s="9" t="s">
        <v>83</v>
      </c>
    </row>
    <row r="42" spans="1:5" ht="15.75" customHeight="1" x14ac:dyDescent="0.15">
      <c r="A42" s="2">
        <v>45356</v>
      </c>
      <c r="B42" s="1" t="s">
        <v>84</v>
      </c>
      <c r="C42" s="10" t="str">
        <f t="shared" si="2"/>
        <v>37.19787</v>
      </c>
      <c r="D42" s="11">
        <f t="shared" si="3"/>
        <v>-80.564790000000002</v>
      </c>
      <c r="E42" s="9" t="s">
        <v>85</v>
      </c>
    </row>
    <row r="43" spans="1:5" ht="15.75" customHeight="1" x14ac:dyDescent="0.15">
      <c r="A43" s="2">
        <v>45356</v>
      </c>
      <c r="B43" s="1" t="s">
        <v>86</v>
      </c>
      <c r="C43" s="10" t="str">
        <f t="shared" si="2"/>
        <v>37.19850</v>
      </c>
      <c r="D43" s="11">
        <f t="shared" si="3"/>
        <v>-80.565039999999996</v>
      </c>
      <c r="E43" s="9" t="s">
        <v>52</v>
      </c>
    </row>
    <row r="44" spans="1:5" ht="15.75" customHeight="1" x14ac:dyDescent="0.15">
      <c r="A44" s="26">
        <v>45364</v>
      </c>
      <c r="B44" s="1" t="s">
        <v>87</v>
      </c>
      <c r="C44" s="10" t="str">
        <f t="shared" si="2"/>
        <v>37.14442</v>
      </c>
      <c r="D44" s="11">
        <f t="shared" si="3"/>
        <v>-80.562489999999997</v>
      </c>
      <c r="E44" s="9" t="s">
        <v>88</v>
      </c>
    </row>
    <row r="45" spans="1:5" ht="15.75" customHeight="1" x14ac:dyDescent="0.15">
      <c r="A45" s="26">
        <v>45364</v>
      </c>
      <c r="B45" s="1" t="s">
        <v>89</v>
      </c>
      <c r="C45" s="10" t="str">
        <f t="shared" si="2"/>
        <v>37.14343</v>
      </c>
      <c r="D45" s="11">
        <f t="shared" si="3"/>
        <v>-80.563190000000006</v>
      </c>
      <c r="E45" s="9" t="s">
        <v>90</v>
      </c>
    </row>
    <row r="46" spans="1:5" ht="15.75" customHeight="1" x14ac:dyDescent="0.15">
      <c r="A46" s="26">
        <v>45364</v>
      </c>
      <c r="B46" s="1" t="s">
        <v>91</v>
      </c>
      <c r="C46" s="10" t="str">
        <f t="shared" si="2"/>
        <v>37.14346</v>
      </c>
      <c r="D46" s="11">
        <f t="shared" si="3"/>
        <v>-80.562709999999996</v>
      </c>
      <c r="E46" s="9" t="s">
        <v>92</v>
      </c>
    </row>
    <row r="47" spans="1:5" ht="15.75" customHeight="1" x14ac:dyDescent="0.15">
      <c r="A47" s="26">
        <v>45367</v>
      </c>
      <c r="B47" s="1" t="s">
        <v>93</v>
      </c>
      <c r="C47" s="10" t="str">
        <f t="shared" si="2"/>
        <v>37.19752</v>
      </c>
      <c r="D47" s="11">
        <f t="shared" si="3"/>
        <v>-80.563910000000007</v>
      </c>
      <c r="E47" t="s">
        <v>94</v>
      </c>
    </row>
    <row r="48" spans="1:5" ht="15.75" customHeight="1" x14ac:dyDescent="0.15">
      <c r="A48" s="26">
        <v>45367</v>
      </c>
      <c r="B48" s="1" t="s">
        <v>95</v>
      </c>
      <c r="C48" s="10" t="str">
        <f t="shared" si="2"/>
        <v>37.19775</v>
      </c>
      <c r="D48" s="11">
        <f t="shared" si="3"/>
        <v>-80.564689999999999</v>
      </c>
      <c r="E48" t="s">
        <v>96</v>
      </c>
    </row>
    <row r="49" spans="1:5" ht="15.75" customHeight="1" x14ac:dyDescent="0.15">
      <c r="A49" s="26">
        <v>45367</v>
      </c>
      <c r="B49" s="1" t="s">
        <v>97</v>
      </c>
      <c r="C49" s="10" t="str">
        <f t="shared" si="2"/>
        <v>37.19835</v>
      </c>
      <c r="D49" s="11">
        <f t="shared" si="3"/>
        <v>-80.565060000000003</v>
      </c>
      <c r="E49" t="s">
        <v>98</v>
      </c>
    </row>
    <row r="50" spans="1:5" ht="15.75" customHeight="1" x14ac:dyDescent="0.15">
      <c r="A50" s="26">
        <v>45375</v>
      </c>
      <c r="B50" s="1" t="s">
        <v>99</v>
      </c>
      <c r="C50" s="10" t="str">
        <f t="shared" si="2"/>
        <v>37.14419</v>
      </c>
      <c r="D50" s="11">
        <f t="shared" si="3"/>
        <v>-80.563079999999999</v>
      </c>
      <c r="E50" t="s">
        <v>100</v>
      </c>
    </row>
    <row r="51" spans="1:5" ht="15.75" customHeight="1" x14ac:dyDescent="0.15">
      <c r="A51" s="26">
        <v>45375</v>
      </c>
      <c r="B51" s="1" t="s">
        <v>101</v>
      </c>
      <c r="C51" s="10" t="str">
        <f t="shared" si="2"/>
        <v>37.14426</v>
      </c>
      <c r="D51" s="11">
        <f t="shared" si="3"/>
        <v>-80.562299999999993</v>
      </c>
      <c r="E51" t="s">
        <v>102</v>
      </c>
    </row>
    <row r="52" spans="1:5" ht="15.75" customHeight="1" x14ac:dyDescent="0.15">
      <c r="A52" s="26">
        <v>45375</v>
      </c>
      <c r="B52" s="1" t="s">
        <v>103</v>
      </c>
      <c r="C52" s="10" t="str">
        <f t="shared" si="2"/>
        <v>37.14366</v>
      </c>
      <c r="D52" s="11">
        <f t="shared" si="3"/>
        <v>-80.562219999999996</v>
      </c>
      <c r="E52" t="s">
        <v>104</v>
      </c>
    </row>
    <row r="53" spans="1:5" ht="15.75" customHeight="1" x14ac:dyDescent="0.15">
      <c r="A53" s="26">
        <v>45389</v>
      </c>
      <c r="B53" s="1" t="s">
        <v>105</v>
      </c>
      <c r="C53" s="10" t="str">
        <f t="shared" si="2"/>
        <v>37.19753</v>
      </c>
      <c r="D53" s="11">
        <f t="shared" si="3"/>
        <v>-80.563969999999998</v>
      </c>
      <c r="E53" t="s">
        <v>106</v>
      </c>
    </row>
    <row r="54" spans="1:5" ht="15.75" customHeight="1" x14ac:dyDescent="0.15">
      <c r="A54" s="26">
        <v>45389</v>
      </c>
      <c r="B54" s="1" t="s">
        <v>107</v>
      </c>
      <c r="C54" s="10" t="str">
        <f t="shared" si="2"/>
        <v>37.19913</v>
      </c>
      <c r="D54" s="11">
        <f t="shared" si="3"/>
        <v>-80.561989999999994</v>
      </c>
      <c r="E54" t="s">
        <v>108</v>
      </c>
    </row>
    <row r="55" spans="1:5" ht="15.75" customHeight="1" x14ac:dyDescent="0.15">
      <c r="A55" s="26">
        <v>45389</v>
      </c>
      <c r="B55" s="1" t="s">
        <v>109</v>
      </c>
      <c r="C55" s="10" t="str">
        <f t="shared" si="2"/>
        <v>37.19835</v>
      </c>
      <c r="D55" s="11">
        <f t="shared" si="3"/>
        <v>-80.565100000000001</v>
      </c>
      <c r="E55" t="s">
        <v>110</v>
      </c>
    </row>
    <row r="56" spans="1:5" ht="15.75" customHeight="1" x14ac:dyDescent="0.15">
      <c r="A56" s="26">
        <v>45389</v>
      </c>
      <c r="B56" s="1" t="s">
        <v>111</v>
      </c>
      <c r="C56" s="10" t="str">
        <f t="shared" si="2"/>
        <v>37.20054</v>
      </c>
      <c r="D56" s="11">
        <f t="shared" si="3"/>
        <v>-80.553629999999998</v>
      </c>
      <c r="E56" t="s">
        <v>112</v>
      </c>
    </row>
    <row r="57" spans="1:5" ht="15.75" customHeight="1" x14ac:dyDescent="0.2">
      <c r="A57" s="28">
        <v>45410</v>
      </c>
      <c r="B57" s="25" t="s">
        <v>113</v>
      </c>
      <c r="C57" s="25">
        <v>37.144039999999997</v>
      </c>
      <c r="D57" s="25">
        <v>-80.563419999999994</v>
      </c>
      <c r="E57" s="29" t="s">
        <v>114</v>
      </c>
    </row>
    <row r="58" spans="1:5" ht="15.75" customHeight="1" x14ac:dyDescent="0.2">
      <c r="A58" s="28">
        <v>45410</v>
      </c>
      <c r="B58" s="25" t="s">
        <v>115</v>
      </c>
      <c r="C58" s="25">
        <v>37.143880000000003</v>
      </c>
      <c r="D58" s="25">
        <v>-80.562920000000005</v>
      </c>
      <c r="E58" s="29" t="s">
        <v>116</v>
      </c>
    </row>
    <row r="59" spans="1:5" ht="15.75" customHeight="1" x14ac:dyDescent="0.2">
      <c r="A59" s="28">
        <v>45410</v>
      </c>
      <c r="B59" s="25" t="s">
        <v>117</v>
      </c>
      <c r="C59" s="25">
        <v>37.14358</v>
      </c>
      <c r="D59" s="25">
        <v>-80.562430000000006</v>
      </c>
      <c r="E59" s="29" t="s">
        <v>118</v>
      </c>
    </row>
    <row r="60" spans="1:5" ht="15.75" customHeight="1" x14ac:dyDescent="0.15">
      <c r="A60" s="26">
        <v>45413</v>
      </c>
      <c r="B60" s="1" t="s">
        <v>119</v>
      </c>
      <c r="C60">
        <v>37.198430000000002</v>
      </c>
      <c r="D60">
        <v>-80.565070000000006</v>
      </c>
      <c r="E60" t="str">
        <f>_xlfn.CONCAT(C60, " N, ", D60, " W")</f>
        <v>37.19843 N, -80.56507 W</v>
      </c>
    </row>
    <row r="61" spans="1:5" ht="15.75" customHeight="1" x14ac:dyDescent="0.15">
      <c r="A61" s="26">
        <v>45413</v>
      </c>
      <c r="B61" s="1" t="s">
        <v>120</v>
      </c>
      <c r="C61" s="30">
        <v>37.197600000000001</v>
      </c>
      <c r="D61">
        <v>-80.563770000000005</v>
      </c>
      <c r="E61" t="str">
        <f t="shared" ref="E61:E68" si="4">_xlfn.CONCAT(C61, " N, ", D61, " W")</f>
        <v>37.1976 N, -80.56377 W</v>
      </c>
    </row>
    <row r="62" spans="1:5" ht="15.75" customHeight="1" x14ac:dyDescent="0.15">
      <c r="A62" s="26">
        <v>45413</v>
      </c>
      <c r="B62" s="1" t="s">
        <v>121</v>
      </c>
      <c r="C62">
        <v>37.198009999999996</v>
      </c>
      <c r="D62">
        <v>-80.564580000000007</v>
      </c>
      <c r="E62" t="str">
        <f t="shared" si="4"/>
        <v>37.19801 N, -80.56458 W</v>
      </c>
    </row>
    <row r="63" spans="1:5" ht="15.75" customHeight="1" x14ac:dyDescent="0.15">
      <c r="A63" s="26">
        <v>45422</v>
      </c>
      <c r="B63" s="25" t="s">
        <v>122</v>
      </c>
      <c r="C63">
        <v>37.14396</v>
      </c>
      <c r="D63">
        <v>-80.563630000000003</v>
      </c>
      <c r="E63" t="str">
        <f t="shared" si="4"/>
        <v>37.14396 N, -80.56363 W</v>
      </c>
    </row>
    <row r="64" spans="1:5" ht="15.75" customHeight="1" x14ac:dyDescent="0.15">
      <c r="A64" s="26">
        <v>45422</v>
      </c>
      <c r="B64" s="25" t="s">
        <v>123</v>
      </c>
      <c r="C64">
        <v>37.143970000000003</v>
      </c>
      <c r="D64">
        <v>-80.562870000000004</v>
      </c>
      <c r="E64" t="str">
        <f t="shared" si="4"/>
        <v>37.14397 N, -80.56287 W</v>
      </c>
    </row>
    <row r="65" spans="1:5" ht="15.75" customHeight="1" x14ac:dyDescent="0.15">
      <c r="A65" s="26">
        <v>45422</v>
      </c>
      <c r="B65" s="25" t="s">
        <v>124</v>
      </c>
      <c r="C65">
        <v>37.14358</v>
      </c>
      <c r="D65">
        <v>-80.562380000000005</v>
      </c>
      <c r="E65" t="str">
        <f t="shared" si="4"/>
        <v>37.14358 N, -80.56238 W</v>
      </c>
    </row>
    <row r="66" spans="1:5" ht="15.75" customHeight="1" x14ac:dyDescent="0.15">
      <c r="A66" s="26">
        <v>45423</v>
      </c>
      <c r="B66" s="1" t="s">
        <v>125</v>
      </c>
      <c r="C66">
        <v>37.19755</v>
      </c>
      <c r="D66">
        <v>-80.563779999999994</v>
      </c>
      <c r="E66" t="str">
        <f t="shared" si="4"/>
        <v>37.19755 N, -80.56378 W</v>
      </c>
    </row>
    <row r="67" spans="1:5" ht="15.75" customHeight="1" x14ac:dyDescent="0.15">
      <c r="A67" s="26">
        <v>45423</v>
      </c>
      <c r="B67" s="1" t="s">
        <v>126</v>
      </c>
      <c r="C67">
        <v>37.198070000000001</v>
      </c>
      <c r="D67">
        <v>-80.564570000000003</v>
      </c>
      <c r="E67" t="str">
        <f t="shared" si="4"/>
        <v>37.19807 N, -80.56457 W</v>
      </c>
    </row>
    <row r="68" spans="1:5" ht="15.75" customHeight="1" x14ac:dyDescent="0.15">
      <c r="A68" s="26">
        <v>45423</v>
      </c>
      <c r="B68" s="1" t="s">
        <v>127</v>
      </c>
      <c r="C68">
        <v>37.198329999999999</v>
      </c>
      <c r="D68">
        <v>-80.565039999999996</v>
      </c>
      <c r="E68" t="str">
        <f t="shared" si="4"/>
        <v>37.19833 N, -80.56504 W</v>
      </c>
    </row>
    <row r="69" spans="1:5" ht="15.75" customHeight="1" x14ac:dyDescent="0.15">
      <c r="A69" s="26">
        <v>45428</v>
      </c>
      <c r="B69" s="25" t="s">
        <v>128</v>
      </c>
      <c r="C69">
        <v>37.143790000000003</v>
      </c>
      <c r="D69">
        <v>-80.56371</v>
      </c>
      <c r="E69" t="str">
        <f t="shared" ref="E69:E96" si="5">_xlfn.CONCAT(C69, " N, ", -1* D69, " W")</f>
        <v>37.14379 N, 80.56371 W</v>
      </c>
    </row>
    <row r="70" spans="1:5" ht="15.75" customHeight="1" x14ac:dyDescent="0.15">
      <c r="A70" s="26">
        <v>45428</v>
      </c>
      <c r="B70" s="25" t="s">
        <v>129</v>
      </c>
      <c r="C70">
        <v>37.143799999999999</v>
      </c>
      <c r="D70">
        <v>-80.562910000000002</v>
      </c>
      <c r="E70" t="str">
        <f t="shared" si="5"/>
        <v>37.1438 N, 80.56291 W</v>
      </c>
    </row>
    <row r="71" spans="1:5" ht="15.75" customHeight="1" x14ac:dyDescent="0.15">
      <c r="A71" s="26">
        <v>45428</v>
      </c>
      <c r="B71" s="25" t="s">
        <v>130</v>
      </c>
      <c r="C71">
        <v>37.14349</v>
      </c>
      <c r="D71">
        <v>-80.562380000000005</v>
      </c>
      <c r="E71" t="str">
        <f t="shared" si="5"/>
        <v>37.14349 N, 80.56238 W</v>
      </c>
    </row>
    <row r="72" spans="1:5" ht="15.75" customHeight="1" x14ac:dyDescent="0.15">
      <c r="A72" s="26">
        <v>45433</v>
      </c>
      <c r="B72" t="s">
        <v>131</v>
      </c>
      <c r="C72">
        <v>37.061250000000001</v>
      </c>
      <c r="D72">
        <v>-80.639200000000002</v>
      </c>
      <c r="E72" t="str">
        <f t="shared" si="5"/>
        <v>37.06125 N, 80.6392 W</v>
      </c>
    </row>
    <row r="73" spans="1:5" ht="15.75" customHeight="1" x14ac:dyDescent="0.15">
      <c r="A73" s="26">
        <v>45433</v>
      </c>
      <c r="B73" t="s">
        <v>132</v>
      </c>
      <c r="C73">
        <v>37.061729999999997</v>
      </c>
      <c r="D73">
        <v>-80.639160000000004</v>
      </c>
      <c r="E73" t="str">
        <f t="shared" si="5"/>
        <v>37.06173 N, 80.63916 W</v>
      </c>
    </row>
    <row r="74" spans="1:5" ht="15.75" customHeight="1" x14ac:dyDescent="0.15">
      <c r="A74" s="26">
        <v>45433</v>
      </c>
      <c r="B74" t="s">
        <v>133</v>
      </c>
      <c r="C74">
        <v>37.061190000000003</v>
      </c>
      <c r="D74">
        <v>-80.640699999999995</v>
      </c>
      <c r="E74" t="str">
        <f t="shared" si="5"/>
        <v>37.06119 N, 80.6407 W</v>
      </c>
    </row>
    <row r="75" spans="1:5" ht="15.75" customHeight="1" x14ac:dyDescent="0.15">
      <c r="A75" s="26">
        <v>45433</v>
      </c>
      <c r="B75" t="s">
        <v>134</v>
      </c>
      <c r="C75">
        <v>37.061750000000004</v>
      </c>
      <c r="D75">
        <v>-80.638689999999997</v>
      </c>
      <c r="E75" t="str">
        <f t="shared" si="5"/>
        <v>37.06175 N, 80.63869 W</v>
      </c>
    </row>
    <row r="76" spans="1:5" ht="15.75" customHeight="1" x14ac:dyDescent="0.15">
      <c r="A76" s="26">
        <v>45433</v>
      </c>
      <c r="B76" t="s">
        <v>135</v>
      </c>
      <c r="C76">
        <v>37.062069999999999</v>
      </c>
      <c r="D76">
        <v>-80.641300000000001</v>
      </c>
      <c r="E76" t="str">
        <f t="shared" si="5"/>
        <v>37.06207 N, 80.6413 W</v>
      </c>
    </row>
    <row r="77" spans="1:5" ht="15.75" customHeight="1" x14ac:dyDescent="0.15">
      <c r="A77" s="26">
        <v>45433</v>
      </c>
      <c r="B77" t="s">
        <v>136</v>
      </c>
      <c r="C77">
        <v>37.0623</v>
      </c>
      <c r="D77">
        <v>-80.639020000000002</v>
      </c>
      <c r="E77" t="str">
        <f t="shared" si="5"/>
        <v>37.0623 N, 80.63902 W</v>
      </c>
    </row>
    <row r="78" spans="1:5" ht="15.75" customHeight="1" x14ac:dyDescent="0.15">
      <c r="A78" s="26">
        <v>45433</v>
      </c>
      <c r="B78" t="s">
        <v>137</v>
      </c>
      <c r="C78">
        <v>37.061729999999997</v>
      </c>
      <c r="D78">
        <v>-80.641090000000005</v>
      </c>
      <c r="E78" t="str">
        <f t="shared" si="5"/>
        <v>37.06173 N, 80.64109 W</v>
      </c>
    </row>
    <row r="79" spans="1:5" ht="15.75" customHeight="1" x14ac:dyDescent="0.15">
      <c r="A79" s="26">
        <v>45433</v>
      </c>
      <c r="B79" t="s">
        <v>138</v>
      </c>
      <c r="C79">
        <v>37.061929999999997</v>
      </c>
      <c r="D79">
        <v>-80.638239999999996</v>
      </c>
      <c r="E79" t="str">
        <f t="shared" si="5"/>
        <v>37.06193 N, 80.63824 W</v>
      </c>
    </row>
    <row r="80" spans="1:5" ht="15.75" customHeight="1" x14ac:dyDescent="0.15">
      <c r="A80" s="26">
        <v>45462</v>
      </c>
      <c r="B80" s="1" t="s">
        <v>139</v>
      </c>
      <c r="C80">
        <v>37.19829</v>
      </c>
      <c r="D80">
        <v>-80.563730000000007</v>
      </c>
      <c r="E80" t="str">
        <f t="shared" si="5"/>
        <v>37.19829 N, 80.56373 W</v>
      </c>
    </row>
    <row r="81" spans="1:5" ht="15.75" customHeight="1" x14ac:dyDescent="0.15">
      <c r="A81" s="26">
        <v>45462</v>
      </c>
      <c r="B81" s="1" t="s">
        <v>140</v>
      </c>
      <c r="C81">
        <v>37.197679999999998</v>
      </c>
      <c r="D81">
        <v>-80.564830000000001</v>
      </c>
      <c r="E81" t="str">
        <f t="shared" si="5"/>
        <v>37.19768 N, 80.56483 W</v>
      </c>
    </row>
    <row r="82" spans="1:5" ht="15.75" customHeight="1" x14ac:dyDescent="0.15">
      <c r="A82" s="26">
        <v>45462</v>
      </c>
      <c r="B82" s="1" t="s">
        <v>141</v>
      </c>
      <c r="C82">
        <v>37.19717</v>
      </c>
      <c r="D82">
        <v>-80.565939999999998</v>
      </c>
      <c r="E82" t="str">
        <f t="shared" si="5"/>
        <v>37.19717 N, 80.56594 W</v>
      </c>
    </row>
    <row r="83" spans="1:5" ht="15.75" customHeight="1" x14ac:dyDescent="0.15">
      <c r="A83" s="26">
        <v>45464</v>
      </c>
      <c r="B83" s="1" t="s">
        <v>142</v>
      </c>
      <c r="C83">
        <v>37.198650000000001</v>
      </c>
      <c r="D83">
        <v>-80.563040000000001</v>
      </c>
      <c r="E83" t="str">
        <f t="shared" si="5"/>
        <v>37.19865 N, 80.56304 W</v>
      </c>
    </row>
    <row r="84" spans="1:5" ht="15.75" customHeight="1" x14ac:dyDescent="0.15">
      <c r="A84" s="26">
        <v>45464</v>
      </c>
      <c r="B84" s="1" t="s">
        <v>143</v>
      </c>
      <c r="C84">
        <v>37.197800000000001</v>
      </c>
      <c r="D84">
        <v>-80.564859999999996</v>
      </c>
      <c r="E84" t="str">
        <f t="shared" si="5"/>
        <v>37.1978 N, 80.56486 W</v>
      </c>
    </row>
    <row r="85" spans="1:5" ht="15.75" customHeight="1" x14ac:dyDescent="0.15">
      <c r="A85" s="26">
        <v>45464</v>
      </c>
      <c r="B85" s="1" t="s">
        <v>144</v>
      </c>
      <c r="C85">
        <v>37.19706</v>
      </c>
      <c r="D85">
        <v>-80.566230000000004</v>
      </c>
      <c r="E85" t="str">
        <f t="shared" si="5"/>
        <v>37.19706 N, 80.56623 W</v>
      </c>
    </row>
    <row r="86" spans="1:5" ht="15.75" customHeight="1" x14ac:dyDescent="0.15">
      <c r="A86" s="26">
        <v>45470</v>
      </c>
      <c r="B86" t="s">
        <v>145</v>
      </c>
      <c r="C86">
        <v>37.197699999999998</v>
      </c>
      <c r="D86">
        <v>-80.565160000000006</v>
      </c>
      <c r="E86" t="str">
        <f t="shared" si="5"/>
        <v>37.1977 N, 80.56516 W</v>
      </c>
    </row>
    <row r="87" spans="1:5" ht="15.75" customHeight="1" x14ac:dyDescent="0.15">
      <c r="A87" s="26">
        <v>45470</v>
      </c>
      <c r="B87" t="s">
        <v>146</v>
      </c>
      <c r="C87">
        <v>37.197800000000001</v>
      </c>
      <c r="D87">
        <v>-80.565340000000006</v>
      </c>
      <c r="E87" t="str">
        <f t="shared" si="5"/>
        <v>37.1978 N, 80.56534 W</v>
      </c>
    </row>
    <row r="88" spans="1:5" ht="15.75" customHeight="1" x14ac:dyDescent="0.15">
      <c r="A88" s="26">
        <v>45470</v>
      </c>
      <c r="B88" t="s">
        <v>147</v>
      </c>
      <c r="C88">
        <v>37.197620000000001</v>
      </c>
      <c r="D88">
        <v>-80.565190000000001</v>
      </c>
      <c r="E88" t="str">
        <f t="shared" si="5"/>
        <v>37.19762 N, 80.56519 W</v>
      </c>
    </row>
    <row r="89" spans="1:5" ht="15.75" customHeight="1" x14ac:dyDescent="0.15">
      <c r="A89" s="26">
        <v>45479</v>
      </c>
      <c r="B89" t="s">
        <v>148</v>
      </c>
      <c r="C89">
        <v>37.197780000000002</v>
      </c>
      <c r="D89">
        <v>-80.565079999999995</v>
      </c>
      <c r="E89" t="str">
        <f t="shared" si="5"/>
        <v>37.19778 N, 80.56508 W</v>
      </c>
    </row>
    <row r="90" spans="1:5" ht="15.75" customHeight="1" x14ac:dyDescent="0.15">
      <c r="A90" s="26">
        <v>45479</v>
      </c>
      <c r="B90" t="s">
        <v>149</v>
      </c>
      <c r="C90">
        <v>37.198650000000001</v>
      </c>
      <c r="D90">
        <v>-80.563559999999995</v>
      </c>
      <c r="E90" t="str">
        <f t="shared" si="5"/>
        <v>37.19865 N, 80.56356 W</v>
      </c>
    </row>
    <row r="91" spans="1:5" ht="15.75" customHeight="1" x14ac:dyDescent="0.15">
      <c r="A91" s="26">
        <v>45479</v>
      </c>
      <c r="B91" t="s">
        <v>150</v>
      </c>
      <c r="C91">
        <v>37.19782</v>
      </c>
      <c r="D91">
        <v>-80.565079999999995</v>
      </c>
      <c r="E91" t="str">
        <f t="shared" si="5"/>
        <v>37.19782 N, 80.56508 W</v>
      </c>
    </row>
    <row r="92" spans="1:5" ht="15.75" customHeight="1" x14ac:dyDescent="0.15">
      <c r="A92" s="26">
        <v>45491</v>
      </c>
      <c r="B92" t="s">
        <v>151</v>
      </c>
      <c r="C92">
        <v>37.197650000000003</v>
      </c>
      <c r="D92">
        <v>-80.564920000000001</v>
      </c>
      <c r="E92" t="str">
        <f t="shared" si="5"/>
        <v>37.19765 N, 80.56492 W</v>
      </c>
    </row>
    <row r="93" spans="1:5" ht="15.75" customHeight="1" x14ac:dyDescent="0.15">
      <c r="A93" s="26">
        <v>45491</v>
      </c>
      <c r="B93" t="s">
        <v>152</v>
      </c>
      <c r="C93">
        <v>37.198360000000001</v>
      </c>
      <c r="D93">
        <v>-80.563720000000004</v>
      </c>
      <c r="E93" t="str">
        <f t="shared" si="5"/>
        <v>37.19836 N, 80.56372 W</v>
      </c>
    </row>
    <row r="94" spans="1:5" ht="15.75" customHeight="1" x14ac:dyDescent="0.15">
      <c r="A94" s="26">
        <v>45491</v>
      </c>
      <c r="B94" t="s">
        <v>153</v>
      </c>
      <c r="C94">
        <v>37.198279999999997</v>
      </c>
      <c r="D94">
        <v>-80.564160000000001</v>
      </c>
      <c r="E94" t="str">
        <f t="shared" si="5"/>
        <v>37.19828 N, 80.56416 W</v>
      </c>
    </row>
    <row r="95" spans="1:5" ht="15.75" customHeight="1" x14ac:dyDescent="0.15">
      <c r="A95" s="26">
        <v>45491</v>
      </c>
      <c r="B95" t="s">
        <v>154</v>
      </c>
      <c r="C95">
        <v>37.197789999999998</v>
      </c>
      <c r="D95">
        <v>-80.565110000000004</v>
      </c>
      <c r="E95" t="str">
        <f t="shared" si="5"/>
        <v>37.19779 N, 80.56511 W</v>
      </c>
    </row>
    <row r="96" spans="1:5" ht="15.75" customHeight="1" x14ac:dyDescent="0.15">
      <c r="A96" s="26">
        <v>45497</v>
      </c>
      <c r="B96" t="s">
        <v>155</v>
      </c>
      <c r="C96">
        <v>37.198140000000002</v>
      </c>
      <c r="D96">
        <v>-80.564539999999994</v>
      </c>
      <c r="E96" t="str">
        <f t="shared" si="5"/>
        <v>37.19814 N, 80.56454 W</v>
      </c>
    </row>
  </sheetData>
  <phoneticPr fontId="7" type="noConversion"/>
  <pageMargins left="0" right="0" top="0" bottom="0" header="0" footer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68"/>
  <sheetViews>
    <sheetView workbookViewId="0">
      <selection activeCell="C69" sqref="C69"/>
    </sheetView>
  </sheetViews>
  <sheetFormatPr baseColWidth="10" defaultColWidth="12.5" defaultRowHeight="15.75" customHeight="1" x14ac:dyDescent="0.15"/>
  <cols>
    <col min="2" max="2" width="13" bestFit="1" customWidth="1"/>
    <col min="3" max="3" width="9.1640625" bestFit="1" customWidth="1"/>
    <col min="4" max="4" width="9.6640625" bestFit="1" customWidth="1"/>
    <col min="5" max="5" width="22.33203125" bestFit="1" customWidth="1"/>
    <col min="6" max="6" width="10.33203125" bestFit="1" customWidth="1"/>
    <col min="8" max="8" width="14.1640625" customWidth="1"/>
    <col min="18" max="18" width="40.6640625" customWidth="1"/>
    <col min="19" max="19" width="23.83203125" customWidth="1"/>
    <col min="20" max="20" width="14.5" customWidth="1"/>
    <col min="21" max="21" width="10.5" customWidth="1"/>
    <col min="22" max="22" width="16.33203125" customWidth="1"/>
    <col min="23" max="23" width="19.33203125" customWidth="1"/>
  </cols>
  <sheetData>
    <row r="1" spans="1:23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2" t="s">
        <v>169</v>
      </c>
      <c r="T1" s="1" t="s">
        <v>170</v>
      </c>
      <c r="U1" s="1" t="s">
        <v>171</v>
      </c>
      <c r="V1" s="1" t="s">
        <v>172</v>
      </c>
      <c r="W1" s="1" t="s">
        <v>173</v>
      </c>
    </row>
    <row r="2" spans="1:23" ht="15.75" customHeight="1" x14ac:dyDescent="0.15">
      <c r="A2" s="2">
        <v>45221</v>
      </c>
      <c r="B2" s="1" t="s">
        <v>5</v>
      </c>
      <c r="C2" s="3" t="str">
        <f t="shared" ref="C2:C38" si="0">LEFT(E2, 8)</f>
        <v>37.19749</v>
      </c>
      <c r="D2" s="3">
        <f t="shared" ref="D2:D38" si="1">MID(E2, 13, 8) *-1</f>
        <v>-80.56371</v>
      </c>
      <c r="E2" s="1" t="s">
        <v>6</v>
      </c>
      <c r="F2" s="19">
        <v>0.11041666666666666</v>
      </c>
      <c r="G2" s="1">
        <v>15.4</v>
      </c>
      <c r="H2" s="1">
        <v>718</v>
      </c>
      <c r="I2" s="1">
        <v>96.1</v>
      </c>
      <c r="J2" s="1">
        <v>9.59</v>
      </c>
      <c r="K2" s="1">
        <v>156</v>
      </c>
      <c r="L2" s="1">
        <v>101</v>
      </c>
      <c r="M2" s="1">
        <v>1.28</v>
      </c>
      <c r="N2" s="1"/>
      <c r="O2" s="1">
        <v>0.34</v>
      </c>
      <c r="P2" s="1">
        <v>0.01</v>
      </c>
      <c r="Q2" s="1">
        <v>0.315</v>
      </c>
      <c r="R2" s="1" t="s">
        <v>174</v>
      </c>
      <c r="S2" s="1" t="s">
        <v>175</v>
      </c>
      <c r="T2" s="20">
        <v>1130</v>
      </c>
      <c r="U2" s="15">
        <v>45225</v>
      </c>
      <c r="V2" s="1">
        <v>25</v>
      </c>
    </row>
    <row r="3" spans="1:23" ht="15.75" customHeight="1" x14ac:dyDescent="0.15">
      <c r="A3" s="2">
        <v>45221</v>
      </c>
      <c r="B3" s="1" t="s">
        <v>7</v>
      </c>
      <c r="C3" s="3" t="str">
        <f t="shared" si="0"/>
        <v>37.19802</v>
      </c>
      <c r="D3" s="3">
        <f t="shared" si="1"/>
        <v>-80.564279999999997</v>
      </c>
      <c r="E3" s="1" t="s">
        <v>8</v>
      </c>
      <c r="F3" s="19">
        <v>0.1076388888888889</v>
      </c>
      <c r="G3" s="1">
        <v>16.399999999999999</v>
      </c>
      <c r="H3" s="1">
        <v>718</v>
      </c>
      <c r="I3" s="1">
        <v>97.8</v>
      </c>
      <c r="J3" s="1">
        <v>9.57</v>
      </c>
      <c r="K3" s="1">
        <v>141.19999999999999</v>
      </c>
      <c r="L3" s="1">
        <v>92</v>
      </c>
      <c r="M3" s="1">
        <v>0.72</v>
      </c>
      <c r="N3" s="1"/>
      <c r="O3" s="1">
        <v>0.39</v>
      </c>
      <c r="P3" s="1">
        <v>0.08</v>
      </c>
      <c r="Q3" s="1">
        <v>0.34300000000000003</v>
      </c>
      <c r="R3" s="1" t="s">
        <v>174</v>
      </c>
      <c r="S3" s="1" t="s">
        <v>176</v>
      </c>
      <c r="T3" s="20">
        <v>1140</v>
      </c>
      <c r="U3" s="15">
        <v>45226</v>
      </c>
      <c r="V3" s="1">
        <v>19</v>
      </c>
    </row>
    <row r="4" spans="1:23" ht="15.75" customHeight="1" x14ac:dyDescent="0.15">
      <c r="A4" s="4">
        <v>45221</v>
      </c>
      <c r="B4" s="1" t="s">
        <v>9</v>
      </c>
      <c r="C4" s="3" t="str">
        <f t="shared" si="0"/>
        <v>37.19819</v>
      </c>
      <c r="D4" s="3">
        <f t="shared" si="1"/>
        <v>-80.565200000000004</v>
      </c>
      <c r="E4" s="1" t="s">
        <v>10</v>
      </c>
      <c r="F4" s="19">
        <v>0.11805555555555555</v>
      </c>
      <c r="G4" s="1">
        <v>16.399999999999999</v>
      </c>
      <c r="H4" s="1">
        <v>718</v>
      </c>
      <c r="I4" s="1">
        <v>98.5</v>
      </c>
      <c r="J4" s="1">
        <v>9.6300000000000008</v>
      </c>
      <c r="K4" s="1">
        <v>143.6</v>
      </c>
      <c r="L4" s="1">
        <v>93</v>
      </c>
      <c r="M4" s="1">
        <v>0.67</v>
      </c>
      <c r="N4" s="1"/>
      <c r="O4" s="1">
        <v>0.51</v>
      </c>
      <c r="P4" s="1">
        <v>0.02</v>
      </c>
      <c r="Q4" s="1">
        <v>0.36699999999999999</v>
      </c>
      <c r="R4" s="1" t="s">
        <v>174</v>
      </c>
      <c r="S4" s="1" t="s">
        <v>177</v>
      </c>
      <c r="T4" s="20">
        <v>1120</v>
      </c>
      <c r="U4" s="15">
        <v>45227</v>
      </c>
      <c r="V4" s="1">
        <v>51</v>
      </c>
    </row>
    <row r="5" spans="1:23" ht="15.75" customHeight="1" x14ac:dyDescent="0.15">
      <c r="A5" s="2">
        <v>45238</v>
      </c>
      <c r="B5" s="1" t="s">
        <v>11</v>
      </c>
      <c r="C5" s="3" t="str">
        <f t="shared" si="0"/>
        <v>37.19742</v>
      </c>
      <c r="D5" s="3">
        <f t="shared" si="1"/>
        <v>-80.563929999999999</v>
      </c>
      <c r="E5" s="1" t="s">
        <v>12</v>
      </c>
      <c r="F5" s="19">
        <v>0.22569444444444445</v>
      </c>
      <c r="G5" s="1">
        <v>16.600000000000001</v>
      </c>
      <c r="H5" s="1">
        <v>717.9</v>
      </c>
      <c r="I5" s="1">
        <v>105.8</v>
      </c>
      <c r="J5" s="1">
        <v>10.34</v>
      </c>
      <c r="K5" s="1">
        <v>187</v>
      </c>
      <c r="L5" s="1">
        <v>122</v>
      </c>
      <c r="M5" s="1">
        <v>0.57999999999999996</v>
      </c>
      <c r="N5" s="1"/>
      <c r="O5" s="1">
        <v>0.28999999999999998</v>
      </c>
      <c r="P5" s="1">
        <v>0.02</v>
      </c>
      <c r="Q5" s="1">
        <v>0.27500000000000002</v>
      </c>
      <c r="R5" s="1" t="s">
        <v>178</v>
      </c>
      <c r="S5" s="1" t="s">
        <v>179</v>
      </c>
      <c r="T5" s="20">
        <v>1120</v>
      </c>
      <c r="U5" s="15">
        <v>45239</v>
      </c>
      <c r="V5" s="1">
        <v>36</v>
      </c>
    </row>
    <row r="6" spans="1:23" ht="15.75" customHeight="1" x14ac:dyDescent="0.15">
      <c r="A6" s="2">
        <v>45238</v>
      </c>
      <c r="B6" s="1" t="s">
        <v>13</v>
      </c>
      <c r="C6" s="3" t="str">
        <f t="shared" si="0"/>
        <v>37.19783</v>
      </c>
      <c r="D6" s="3">
        <f t="shared" si="1"/>
        <v>-80.564409999999995</v>
      </c>
      <c r="E6" s="5" t="s">
        <v>14</v>
      </c>
      <c r="F6" s="19">
        <v>0.2326388888888889</v>
      </c>
      <c r="G6" s="1">
        <v>16</v>
      </c>
      <c r="H6" s="1">
        <v>718</v>
      </c>
      <c r="I6" s="1">
        <v>105.1</v>
      </c>
      <c r="J6" s="1">
        <v>10.36</v>
      </c>
      <c r="K6" s="1">
        <v>157.4</v>
      </c>
      <c r="L6" s="1">
        <v>102</v>
      </c>
      <c r="M6" s="1">
        <v>0.56000000000000005</v>
      </c>
      <c r="N6" s="1"/>
      <c r="O6" s="1">
        <v>0.38</v>
      </c>
      <c r="P6" s="1">
        <v>7.0000000000000007E-2</v>
      </c>
      <c r="Q6" s="1">
        <v>0.33</v>
      </c>
      <c r="R6" s="1" t="s">
        <v>178</v>
      </c>
      <c r="S6" s="1" t="s">
        <v>180</v>
      </c>
      <c r="T6" s="20">
        <v>1120</v>
      </c>
      <c r="U6" s="15">
        <v>45239</v>
      </c>
      <c r="V6" s="1">
        <v>9</v>
      </c>
    </row>
    <row r="7" spans="1:23" ht="15.75" customHeight="1" x14ac:dyDescent="0.15">
      <c r="A7" s="6">
        <v>45238</v>
      </c>
      <c r="B7" s="1" t="s">
        <v>15</v>
      </c>
      <c r="C7" s="3" t="str">
        <f t="shared" si="0"/>
        <v>37.19832</v>
      </c>
      <c r="D7" s="3">
        <f t="shared" si="1"/>
        <v>-80.56523</v>
      </c>
      <c r="E7" s="1" t="s">
        <v>16</v>
      </c>
      <c r="F7" s="19">
        <v>0.23680555555555555</v>
      </c>
      <c r="G7" s="1">
        <v>16.100000000000001</v>
      </c>
      <c r="H7" s="1">
        <v>718</v>
      </c>
      <c r="I7" s="1">
        <v>104.1</v>
      </c>
      <c r="J7" s="1">
        <v>10.26</v>
      </c>
      <c r="K7" s="1">
        <v>154.5</v>
      </c>
      <c r="L7" s="1">
        <v>100</v>
      </c>
      <c r="M7" s="1">
        <v>0.56999999999999995</v>
      </c>
      <c r="N7" s="1"/>
      <c r="O7" s="1">
        <v>0.4</v>
      </c>
      <c r="P7" s="1">
        <v>0.05</v>
      </c>
      <c r="Q7" s="1">
        <v>0.35599999999999998</v>
      </c>
      <c r="R7" s="1" t="s">
        <v>178</v>
      </c>
      <c r="S7" s="1" t="s">
        <v>181</v>
      </c>
      <c r="T7" s="20">
        <v>1120</v>
      </c>
      <c r="U7" s="15">
        <v>45239</v>
      </c>
      <c r="V7" s="1">
        <v>6</v>
      </c>
    </row>
    <row r="8" spans="1:23" ht="15.75" customHeight="1" x14ac:dyDescent="0.15">
      <c r="A8" s="2">
        <v>45241</v>
      </c>
      <c r="B8" s="1" t="s">
        <v>17</v>
      </c>
      <c r="C8" s="3" t="str">
        <f t="shared" si="0"/>
        <v>37.19739</v>
      </c>
      <c r="D8" s="3">
        <f t="shared" si="1"/>
        <v>-80.563950000000006</v>
      </c>
      <c r="E8" s="1" t="s">
        <v>18</v>
      </c>
      <c r="F8" s="19">
        <v>0.53125</v>
      </c>
      <c r="G8" s="1">
        <v>13.9</v>
      </c>
      <c r="H8" s="1">
        <v>726.6</v>
      </c>
      <c r="I8" s="1">
        <v>95.7</v>
      </c>
      <c r="J8" s="1">
        <v>9.8699999999999992</v>
      </c>
      <c r="K8" s="1">
        <v>174.5</v>
      </c>
      <c r="L8" s="1">
        <v>113</v>
      </c>
      <c r="M8" s="1">
        <v>0.53</v>
      </c>
      <c r="N8" s="1"/>
      <c r="O8" s="1">
        <v>0.24</v>
      </c>
      <c r="P8" s="1">
        <v>0.01</v>
      </c>
      <c r="Q8" s="1">
        <v>0.27800000000000002</v>
      </c>
      <c r="R8" s="1" t="s">
        <v>182</v>
      </c>
      <c r="S8" s="1" t="s">
        <v>183</v>
      </c>
      <c r="T8" s="20">
        <v>1140</v>
      </c>
      <c r="U8" s="15">
        <v>45244</v>
      </c>
      <c r="V8" s="1">
        <v>41</v>
      </c>
    </row>
    <row r="9" spans="1:23" ht="15.75" customHeight="1" x14ac:dyDescent="0.15">
      <c r="A9" s="2">
        <v>45241</v>
      </c>
      <c r="B9" s="1" t="s">
        <v>19</v>
      </c>
      <c r="C9" s="3" t="str">
        <f t="shared" si="0"/>
        <v>37.19806</v>
      </c>
      <c r="D9" s="3">
        <f t="shared" si="1"/>
        <v>-80.564549999999997</v>
      </c>
      <c r="E9" s="1" t="s">
        <v>20</v>
      </c>
      <c r="F9" s="19">
        <v>0.53749999999999998</v>
      </c>
      <c r="G9" s="1">
        <v>14.4</v>
      </c>
      <c r="H9" s="1">
        <v>726.6</v>
      </c>
      <c r="I9" s="1">
        <v>93.9</v>
      </c>
      <c r="J9" s="1">
        <v>9.59</v>
      </c>
      <c r="K9" s="1">
        <v>159.69999999999999</v>
      </c>
      <c r="L9" s="1">
        <v>104</v>
      </c>
      <c r="M9" s="1">
        <v>0.55000000000000004</v>
      </c>
      <c r="N9" s="1"/>
      <c r="O9" s="1">
        <v>0.35</v>
      </c>
      <c r="P9" s="1">
        <v>0.04</v>
      </c>
      <c r="Q9" s="1">
        <v>0.35199999999999998</v>
      </c>
      <c r="R9" s="1" t="s">
        <v>182</v>
      </c>
      <c r="S9" s="1" t="s">
        <v>184</v>
      </c>
      <c r="T9" s="20">
        <v>1140</v>
      </c>
      <c r="U9" s="15">
        <v>45244</v>
      </c>
      <c r="V9" s="1">
        <v>30</v>
      </c>
    </row>
    <row r="10" spans="1:23" ht="15.75" customHeight="1" x14ac:dyDescent="0.15">
      <c r="A10" s="7">
        <v>45241</v>
      </c>
      <c r="B10" s="1" t="s">
        <v>21</v>
      </c>
      <c r="C10" s="3" t="str">
        <f t="shared" si="0"/>
        <v>37.19818</v>
      </c>
      <c r="D10" s="3">
        <f t="shared" si="1"/>
        <v>-80.564949999999996</v>
      </c>
      <c r="E10" s="1" t="s">
        <v>22</v>
      </c>
      <c r="F10" s="19">
        <v>0.54097222222222219</v>
      </c>
      <c r="G10" s="1">
        <v>14.5</v>
      </c>
      <c r="H10" s="1">
        <v>726.5</v>
      </c>
      <c r="I10" s="1">
        <v>95.5</v>
      </c>
      <c r="J10" s="1">
        <v>9.7200000000000006</v>
      </c>
      <c r="K10" s="1">
        <v>161.19999999999999</v>
      </c>
      <c r="L10" s="1">
        <v>105</v>
      </c>
      <c r="M10" s="1">
        <v>0.53</v>
      </c>
      <c r="N10" s="1"/>
      <c r="O10" s="1">
        <v>0.34</v>
      </c>
      <c r="P10" s="1">
        <v>0.05</v>
      </c>
      <c r="Q10" s="1">
        <v>0.48</v>
      </c>
      <c r="R10" s="1" t="s">
        <v>182</v>
      </c>
      <c r="S10" s="1" t="s">
        <v>185</v>
      </c>
      <c r="T10" s="21">
        <v>1140</v>
      </c>
      <c r="U10" s="15">
        <v>45244</v>
      </c>
      <c r="V10" s="1">
        <v>28</v>
      </c>
    </row>
    <row r="11" spans="1:23" ht="15.75" customHeight="1" x14ac:dyDescent="0.15">
      <c r="A11" s="2">
        <v>45263</v>
      </c>
      <c r="B11" s="1" t="s">
        <v>23</v>
      </c>
      <c r="C11" s="3" t="str">
        <f t="shared" si="0"/>
        <v>37.19744</v>
      </c>
      <c r="D11" s="3">
        <f t="shared" si="1"/>
        <v>-80.56371</v>
      </c>
      <c r="E11" s="5" t="s">
        <v>24</v>
      </c>
      <c r="F11" s="19">
        <v>0.51736111111111116</v>
      </c>
      <c r="G11" s="1">
        <v>11.6</v>
      </c>
      <c r="H11" s="1">
        <v>713.1</v>
      </c>
      <c r="I11" s="1">
        <v>91.6</v>
      </c>
      <c r="J11" s="1">
        <v>9.9600000000000009</v>
      </c>
      <c r="K11" s="1">
        <v>198.8</v>
      </c>
      <c r="L11" s="1">
        <v>129</v>
      </c>
      <c r="M11" s="1">
        <v>0.83</v>
      </c>
      <c r="N11" s="1"/>
      <c r="O11" s="1">
        <v>0.25</v>
      </c>
      <c r="P11" s="1">
        <v>0.03</v>
      </c>
      <c r="Q11" s="16">
        <v>0.13</v>
      </c>
      <c r="R11" s="1" t="s">
        <v>186</v>
      </c>
      <c r="S11" s="1" t="s">
        <v>187</v>
      </c>
      <c r="T11" s="20">
        <v>1360</v>
      </c>
      <c r="U11" s="15">
        <v>45235</v>
      </c>
    </row>
    <row r="12" spans="1:23" ht="15.75" customHeight="1" x14ac:dyDescent="0.15">
      <c r="A12" s="2">
        <v>45263</v>
      </c>
      <c r="B12" s="1" t="s">
        <v>25</v>
      </c>
      <c r="C12" s="3" t="str">
        <f t="shared" si="0"/>
        <v>37.19794</v>
      </c>
      <c r="D12" s="3">
        <f t="shared" si="1"/>
        <v>-80.564210000000003</v>
      </c>
      <c r="E12" s="1" t="s">
        <v>26</v>
      </c>
      <c r="F12" s="19">
        <v>0.51875000000000004</v>
      </c>
      <c r="G12" s="1">
        <v>11.3</v>
      </c>
      <c r="H12" s="1">
        <v>713.2</v>
      </c>
      <c r="I12" s="1">
        <v>94.4</v>
      </c>
      <c r="J12" s="1">
        <v>10.33</v>
      </c>
      <c r="K12" s="1">
        <v>160.9</v>
      </c>
      <c r="L12" s="1">
        <v>105</v>
      </c>
      <c r="M12" s="1">
        <v>0.77</v>
      </c>
      <c r="N12" s="1"/>
      <c r="O12" s="1">
        <v>0.34</v>
      </c>
      <c r="P12" s="1">
        <v>0.02</v>
      </c>
      <c r="Q12" s="1">
        <v>0.106</v>
      </c>
      <c r="R12" s="1" t="s">
        <v>186</v>
      </c>
      <c r="S12" s="1" t="s">
        <v>188</v>
      </c>
      <c r="T12" s="21">
        <v>1360</v>
      </c>
    </row>
    <row r="13" spans="1:23" ht="15.75" customHeight="1" x14ac:dyDescent="0.15">
      <c r="A13" s="2">
        <v>45263</v>
      </c>
      <c r="B13" s="1" t="s">
        <v>27</v>
      </c>
      <c r="C13" s="3" t="str">
        <f t="shared" si="0"/>
        <v>37.19862</v>
      </c>
      <c r="D13" s="3">
        <f t="shared" si="1"/>
        <v>-80.564840000000004</v>
      </c>
      <c r="E13" s="1" t="s">
        <v>28</v>
      </c>
      <c r="F13" s="19">
        <v>0.52708333333333335</v>
      </c>
      <c r="G13" s="1">
        <v>11.2</v>
      </c>
      <c r="H13" s="1">
        <v>713.1</v>
      </c>
      <c r="I13" s="1">
        <v>93.1</v>
      </c>
      <c r="J13" s="1">
        <v>10.18</v>
      </c>
      <c r="K13" s="1">
        <v>164.4</v>
      </c>
      <c r="L13" s="1">
        <v>107</v>
      </c>
      <c r="M13" s="1">
        <v>0.79</v>
      </c>
      <c r="N13" s="1"/>
      <c r="O13" s="1">
        <v>0.26</v>
      </c>
      <c r="P13" s="1">
        <v>0.03</v>
      </c>
      <c r="Q13" s="1">
        <v>0.11700000000000001</v>
      </c>
      <c r="R13" s="1" t="s">
        <v>186</v>
      </c>
      <c r="S13" s="1" t="s">
        <v>189</v>
      </c>
      <c r="T13" s="21">
        <v>1345</v>
      </c>
      <c r="V13" s="1">
        <v>21</v>
      </c>
    </row>
    <row r="14" spans="1:23" ht="15.75" customHeight="1" x14ac:dyDescent="0.15">
      <c r="A14" s="2">
        <v>45265</v>
      </c>
      <c r="B14" s="1" t="s">
        <v>29</v>
      </c>
      <c r="C14" s="3" t="str">
        <f t="shared" si="0"/>
        <v>37.19731</v>
      </c>
      <c r="D14" s="3">
        <f t="shared" si="1"/>
        <v>-80.563890000000001</v>
      </c>
      <c r="E14" s="1" t="s">
        <v>30</v>
      </c>
      <c r="F14" s="19">
        <v>0.42499999999999999</v>
      </c>
      <c r="G14" s="1">
        <v>9.5</v>
      </c>
      <c r="H14" s="1">
        <v>720.5</v>
      </c>
      <c r="I14" s="1">
        <v>83.1</v>
      </c>
      <c r="J14" s="1">
        <v>9.48</v>
      </c>
      <c r="K14" s="1">
        <v>188.6</v>
      </c>
      <c r="L14" s="1">
        <v>123</v>
      </c>
      <c r="M14" s="1">
        <v>4.33</v>
      </c>
      <c r="N14" s="1"/>
      <c r="O14" s="1">
        <v>0.19</v>
      </c>
      <c r="P14" s="1">
        <v>-0.01</v>
      </c>
      <c r="Q14" s="1">
        <v>0.17599999999999999</v>
      </c>
      <c r="R14" s="1" t="s">
        <v>190</v>
      </c>
      <c r="S14" s="1" t="s">
        <v>191</v>
      </c>
      <c r="T14" s="20">
        <v>2160</v>
      </c>
      <c r="U14" s="15">
        <v>45237</v>
      </c>
    </row>
    <row r="15" spans="1:23" ht="15.75" customHeight="1" x14ac:dyDescent="0.15">
      <c r="A15" s="2">
        <v>45265</v>
      </c>
      <c r="B15" s="1" t="s">
        <v>31</v>
      </c>
      <c r="C15" s="3" t="str">
        <f t="shared" si="0"/>
        <v>37.19785</v>
      </c>
      <c r="D15" s="3">
        <f t="shared" si="1"/>
        <v>-80.564769999999996</v>
      </c>
      <c r="E15" s="1" t="s">
        <v>32</v>
      </c>
      <c r="F15" s="19">
        <v>0.43125000000000002</v>
      </c>
      <c r="G15" s="1">
        <v>9.3000000000000007</v>
      </c>
      <c r="H15" s="1">
        <v>720.6</v>
      </c>
      <c r="I15" s="1">
        <v>90.7</v>
      </c>
      <c r="J15" s="1">
        <v>10.41</v>
      </c>
      <c r="K15" s="1">
        <v>158.4</v>
      </c>
      <c r="L15" s="1">
        <v>103</v>
      </c>
      <c r="M15" s="1">
        <v>0.91</v>
      </c>
      <c r="N15" s="1"/>
      <c r="O15" s="1">
        <v>0.35</v>
      </c>
      <c r="P15" s="1">
        <v>0.06</v>
      </c>
      <c r="Q15" s="1">
        <v>0.35099999999999998</v>
      </c>
      <c r="R15" s="1" t="s">
        <v>190</v>
      </c>
      <c r="S15" s="1" t="s">
        <v>192</v>
      </c>
      <c r="T15" s="21">
        <v>2160</v>
      </c>
    </row>
    <row r="16" spans="1:23" ht="15.75" customHeight="1" x14ac:dyDescent="0.15">
      <c r="A16" s="4">
        <v>45265</v>
      </c>
      <c r="B16" s="1" t="s">
        <v>33</v>
      </c>
      <c r="C16" s="3" t="str">
        <f t="shared" si="0"/>
        <v>37.19842</v>
      </c>
      <c r="D16" s="3">
        <f t="shared" si="1"/>
        <v>-80.565100000000001</v>
      </c>
      <c r="E16" s="1" t="s">
        <v>34</v>
      </c>
      <c r="F16" s="19">
        <v>0.43541666666666667</v>
      </c>
      <c r="G16" s="1">
        <v>9.4</v>
      </c>
      <c r="H16" s="1">
        <v>720.5</v>
      </c>
      <c r="I16" s="1">
        <v>88.9</v>
      </c>
      <c r="J16" s="1">
        <v>10.18</v>
      </c>
      <c r="K16" s="1">
        <v>163.5</v>
      </c>
      <c r="L16" s="1">
        <v>106</v>
      </c>
      <c r="M16" s="1">
        <v>0.96</v>
      </c>
      <c r="N16" s="1"/>
      <c r="O16" s="1">
        <v>0.36</v>
      </c>
      <c r="P16" s="1">
        <v>7.0000000000000007E-2</v>
      </c>
      <c r="Q16" s="1">
        <v>0.32600000000000001</v>
      </c>
      <c r="R16" s="1" t="s">
        <v>190</v>
      </c>
      <c r="S16" s="1" t="s">
        <v>193</v>
      </c>
      <c r="T16" s="21">
        <v>2160</v>
      </c>
    </row>
    <row r="17" spans="1:20" ht="15.75" customHeight="1" x14ac:dyDescent="0.15">
      <c r="A17" s="2">
        <v>45312</v>
      </c>
      <c r="B17" s="1" t="s">
        <v>35</v>
      </c>
      <c r="C17" s="3" t="str">
        <f t="shared" si="0"/>
        <v>37.19728</v>
      </c>
      <c r="D17" s="3">
        <f t="shared" si="1"/>
        <v>-80.563900000000004</v>
      </c>
      <c r="E17" s="1" t="s">
        <v>36</v>
      </c>
      <c r="F17" s="19">
        <v>0.11319444444444444</v>
      </c>
      <c r="G17" s="1">
        <v>2.1</v>
      </c>
      <c r="H17" s="1">
        <v>730.7</v>
      </c>
      <c r="I17" s="1">
        <v>85.6</v>
      </c>
      <c r="J17" s="1">
        <v>11.8</v>
      </c>
      <c r="K17" s="1">
        <v>132.9</v>
      </c>
      <c r="L17" s="1">
        <v>86</v>
      </c>
      <c r="M17" s="1">
        <v>22.81</v>
      </c>
      <c r="N17" s="1"/>
      <c r="O17" s="1">
        <v>0.69</v>
      </c>
      <c r="P17" s="1">
        <v>0.03</v>
      </c>
      <c r="Q17" s="1">
        <v>0.38600000000000001</v>
      </c>
      <c r="S17" s="18" t="s">
        <v>194</v>
      </c>
      <c r="T17" s="21">
        <v>1400</v>
      </c>
    </row>
    <row r="18" spans="1:20" ht="15.75" customHeight="1" x14ac:dyDescent="0.15">
      <c r="A18" s="2">
        <v>45312</v>
      </c>
      <c r="B18" s="1" t="s">
        <v>37</v>
      </c>
      <c r="C18" s="3" t="str">
        <f t="shared" si="0"/>
        <v>37.19783</v>
      </c>
      <c r="D18" s="3">
        <f t="shared" si="1"/>
        <v>-80.564899999999994</v>
      </c>
      <c r="E18" s="1" t="s">
        <v>38</v>
      </c>
      <c r="F18" s="19">
        <v>0.11805555555555555</v>
      </c>
      <c r="G18" s="1">
        <v>2.1</v>
      </c>
      <c r="H18" s="1">
        <v>730.8</v>
      </c>
      <c r="I18" s="1">
        <v>89.5</v>
      </c>
      <c r="J18" s="1">
        <v>12.34</v>
      </c>
      <c r="K18" s="1">
        <v>115.8</v>
      </c>
      <c r="L18" s="1">
        <v>75</v>
      </c>
      <c r="M18" s="1">
        <v>19.47</v>
      </c>
      <c r="N18" s="1"/>
      <c r="O18" s="1">
        <v>0.68</v>
      </c>
      <c r="P18" s="1">
        <v>0.08</v>
      </c>
      <c r="Q18" s="1">
        <v>0.33200000000000002</v>
      </c>
      <c r="S18" t="s">
        <v>195</v>
      </c>
      <c r="T18" s="21">
        <v>1400</v>
      </c>
    </row>
    <row r="19" spans="1:20" ht="15.75" customHeight="1" x14ac:dyDescent="0.15">
      <c r="A19" s="2">
        <v>45312</v>
      </c>
      <c r="B19" s="1" t="s">
        <v>39</v>
      </c>
      <c r="C19" s="3" t="str">
        <f t="shared" si="0"/>
        <v>37.19842</v>
      </c>
      <c r="D19" s="3">
        <f t="shared" si="1"/>
        <v>-80.564999999999998</v>
      </c>
      <c r="E19" s="1" t="s">
        <v>40</v>
      </c>
      <c r="F19" s="19">
        <v>0.12222222222222222</v>
      </c>
      <c r="G19" s="1">
        <v>2.1</v>
      </c>
      <c r="H19" s="1">
        <v>730.9</v>
      </c>
      <c r="I19" s="1">
        <v>90.8</v>
      </c>
      <c r="J19" s="1">
        <v>12.52</v>
      </c>
      <c r="K19" s="1">
        <v>118</v>
      </c>
      <c r="L19" s="1">
        <v>77</v>
      </c>
      <c r="M19" s="1">
        <v>18.53</v>
      </c>
      <c r="N19" s="1"/>
      <c r="O19" s="1">
        <v>0.71</v>
      </c>
      <c r="P19" s="1">
        <v>0.1</v>
      </c>
      <c r="Q19" s="1">
        <v>0.32900000000000001</v>
      </c>
      <c r="S19" t="s">
        <v>196</v>
      </c>
      <c r="T19" s="21">
        <v>1400</v>
      </c>
    </row>
    <row r="20" spans="1:20" ht="15.75" customHeight="1" x14ac:dyDescent="0.15">
      <c r="A20" s="2">
        <v>45321</v>
      </c>
      <c r="B20" s="1" t="s">
        <v>41</v>
      </c>
      <c r="C20" s="3" t="str">
        <f t="shared" si="0"/>
        <v>37.14414</v>
      </c>
      <c r="D20" s="3">
        <f t="shared" si="1"/>
        <v>-80.563419999999994</v>
      </c>
      <c r="E20" s="1" t="s">
        <v>42</v>
      </c>
      <c r="F20" s="19">
        <v>0.5395833333333333</v>
      </c>
      <c r="G20" s="1">
        <v>3.9</v>
      </c>
      <c r="H20" s="1">
        <v>718.5</v>
      </c>
      <c r="I20" s="1">
        <v>90.3</v>
      </c>
      <c r="J20" s="1">
        <v>11.87</v>
      </c>
      <c r="K20" s="1">
        <v>126.3</v>
      </c>
      <c r="L20" s="1">
        <v>82</v>
      </c>
      <c r="M20" s="1">
        <v>11.92</v>
      </c>
      <c r="N20" s="1"/>
      <c r="O20" s="1">
        <v>0.09</v>
      </c>
      <c r="P20" s="1">
        <v>0.03</v>
      </c>
      <c r="Q20" s="1">
        <v>0.16200000000000001</v>
      </c>
      <c r="S20" s="18" t="s">
        <v>197</v>
      </c>
      <c r="T20" s="21">
        <v>6220</v>
      </c>
    </row>
    <row r="21" spans="1:20" ht="15.75" customHeight="1" x14ac:dyDescent="0.15">
      <c r="A21" s="2">
        <v>45321</v>
      </c>
      <c r="B21" s="1" t="s">
        <v>43</v>
      </c>
      <c r="C21" s="3" t="str">
        <f t="shared" si="0"/>
        <v>37.14384</v>
      </c>
      <c r="D21" s="3">
        <f t="shared" si="1"/>
        <v>-80.562830000000005</v>
      </c>
      <c r="E21" s="1" t="s">
        <v>44</v>
      </c>
      <c r="F21" s="19">
        <v>4.3749999999999997E-2</v>
      </c>
      <c r="G21" s="1">
        <v>3.7</v>
      </c>
      <c r="H21" s="1">
        <v>718.6</v>
      </c>
      <c r="I21" s="1">
        <v>91.5</v>
      </c>
      <c r="J21" s="1">
        <v>12.08</v>
      </c>
      <c r="K21" s="1">
        <v>110.3</v>
      </c>
      <c r="L21" s="1">
        <v>72</v>
      </c>
      <c r="M21" s="1">
        <v>10.75</v>
      </c>
      <c r="N21" s="1"/>
      <c r="O21" s="1">
        <v>0.14000000000000001</v>
      </c>
      <c r="P21" s="1">
        <v>0.05</v>
      </c>
      <c r="Q21" s="1">
        <v>0.34100000000000003</v>
      </c>
      <c r="S21" t="s">
        <v>198</v>
      </c>
      <c r="T21" s="21">
        <v>6220</v>
      </c>
    </row>
    <row r="22" spans="1:20" ht="15.75" customHeight="1" x14ac:dyDescent="0.15">
      <c r="A22" s="2">
        <v>45321</v>
      </c>
      <c r="B22" s="1" t="s">
        <v>45</v>
      </c>
      <c r="C22" s="3" t="str">
        <f t="shared" si="0"/>
        <v>37.14347</v>
      </c>
      <c r="D22" s="3">
        <f t="shared" si="1"/>
        <v>-80.562380000000005</v>
      </c>
      <c r="E22" s="1" t="s">
        <v>46</v>
      </c>
      <c r="F22" s="19">
        <v>4.7222222222222221E-2</v>
      </c>
      <c r="G22" s="1">
        <v>4.9000000000000004</v>
      </c>
      <c r="H22" s="1">
        <v>718.5</v>
      </c>
      <c r="I22" s="1">
        <v>91.9</v>
      </c>
      <c r="J22" s="1">
        <v>11.77</v>
      </c>
      <c r="K22" s="1">
        <v>132.30000000000001</v>
      </c>
      <c r="L22" s="1">
        <v>86</v>
      </c>
      <c r="M22" s="1">
        <v>17.84</v>
      </c>
      <c r="N22" s="1"/>
      <c r="O22" s="1">
        <v>0.32</v>
      </c>
      <c r="P22" s="1">
        <v>0.14000000000000001</v>
      </c>
      <c r="Q22" s="1">
        <v>0.39500000000000002</v>
      </c>
      <c r="S22" t="s">
        <v>199</v>
      </c>
      <c r="T22" s="21">
        <v>6220</v>
      </c>
    </row>
    <row r="23" spans="1:20" ht="15.75" customHeight="1" x14ac:dyDescent="0.15">
      <c r="A23" s="2">
        <v>45321</v>
      </c>
      <c r="B23" s="1" t="s">
        <v>47</v>
      </c>
      <c r="C23" s="3" t="str">
        <f t="shared" si="0"/>
        <v>37.19732</v>
      </c>
      <c r="D23" s="3">
        <f t="shared" si="1"/>
        <v>-80.563940000000002</v>
      </c>
      <c r="E23" s="1" t="s">
        <v>48</v>
      </c>
      <c r="F23" s="19">
        <v>0.10069444444444445</v>
      </c>
      <c r="G23" s="1">
        <v>4.0999999999999996</v>
      </c>
      <c r="H23" s="1">
        <v>718.7</v>
      </c>
      <c r="I23" s="1">
        <v>92</v>
      </c>
      <c r="J23" s="1">
        <v>12.02</v>
      </c>
      <c r="K23" s="1">
        <v>122.8</v>
      </c>
      <c r="L23" s="1">
        <v>80</v>
      </c>
      <c r="M23" s="1">
        <v>11.64</v>
      </c>
      <c r="N23" s="1"/>
      <c r="O23" s="1">
        <v>0.18</v>
      </c>
      <c r="P23" s="1">
        <v>0.1</v>
      </c>
      <c r="Q23" s="1">
        <v>0.16500000000000001</v>
      </c>
      <c r="S23" s="18" t="s">
        <v>200</v>
      </c>
      <c r="T23" s="21">
        <v>6800</v>
      </c>
    </row>
    <row r="24" spans="1:20" ht="15.75" customHeight="1" x14ac:dyDescent="0.15">
      <c r="A24" s="2">
        <v>45321</v>
      </c>
      <c r="B24" s="1" t="s">
        <v>49</v>
      </c>
      <c r="C24" s="3" t="str">
        <f t="shared" si="0"/>
        <v>37.19796</v>
      </c>
      <c r="D24" s="3">
        <f t="shared" si="1"/>
        <v>-80.564750000000004</v>
      </c>
      <c r="E24" s="1" t="s">
        <v>50</v>
      </c>
      <c r="F24" s="19">
        <v>0.10555555555555556</v>
      </c>
      <c r="G24" s="1">
        <v>3.9</v>
      </c>
      <c r="H24" s="1">
        <v>718.7</v>
      </c>
      <c r="I24" s="1">
        <v>92.7</v>
      </c>
      <c r="J24" s="1">
        <v>12.17</v>
      </c>
      <c r="K24" s="1">
        <v>123.1</v>
      </c>
      <c r="L24" s="1">
        <v>80</v>
      </c>
      <c r="M24" s="1">
        <v>9.44</v>
      </c>
      <c r="N24" s="1"/>
      <c r="O24" s="1">
        <v>0.19</v>
      </c>
      <c r="P24" s="1">
        <v>7.0000000000000007E-2</v>
      </c>
      <c r="Q24" s="1">
        <v>0.26600000000000001</v>
      </c>
      <c r="S24" s="18" t="s">
        <v>201</v>
      </c>
      <c r="T24" s="21">
        <v>6800</v>
      </c>
    </row>
    <row r="25" spans="1:20" ht="15.75" customHeight="1" x14ac:dyDescent="0.15">
      <c r="A25" s="2">
        <v>45321</v>
      </c>
      <c r="B25" s="1" t="s">
        <v>51</v>
      </c>
      <c r="C25" s="3" t="str">
        <f t="shared" si="0"/>
        <v>37.19850</v>
      </c>
      <c r="D25" s="3">
        <f t="shared" si="1"/>
        <v>-80.565039999999996</v>
      </c>
      <c r="E25" s="1" t="s">
        <v>52</v>
      </c>
      <c r="F25" s="19">
        <v>0.11319444444444444</v>
      </c>
      <c r="G25" s="1">
        <v>4.0999999999999996</v>
      </c>
      <c r="H25" s="1">
        <v>718.7</v>
      </c>
      <c r="I25" s="1">
        <v>92.6</v>
      </c>
      <c r="J25" s="1">
        <v>12.11</v>
      </c>
      <c r="K25" s="1">
        <v>127.5</v>
      </c>
      <c r="L25" s="1">
        <v>83</v>
      </c>
      <c r="M25" s="1">
        <v>9.81</v>
      </c>
      <c r="N25" s="1"/>
      <c r="O25" s="1">
        <v>0.18</v>
      </c>
      <c r="P25" s="1">
        <v>0.1</v>
      </c>
      <c r="Q25" s="1">
        <v>0.25700000000000001</v>
      </c>
      <c r="S25" s="18" t="s">
        <v>202</v>
      </c>
      <c r="T25" s="20">
        <v>6970</v>
      </c>
    </row>
    <row r="26" spans="1:20" ht="15.75" customHeight="1" x14ac:dyDescent="0.15">
      <c r="A26" s="2">
        <v>45326</v>
      </c>
      <c r="B26" s="1" t="s">
        <v>53</v>
      </c>
      <c r="C26" s="3" t="str">
        <f t="shared" si="0"/>
        <v>37.14409</v>
      </c>
      <c r="D26" s="3">
        <f t="shared" si="1"/>
        <v>-80.563400000000001</v>
      </c>
      <c r="E26" s="1" t="s">
        <v>54</v>
      </c>
      <c r="F26" s="19">
        <v>4.3749999999999997E-2</v>
      </c>
      <c r="G26" s="1">
        <v>6.1</v>
      </c>
      <c r="H26" s="1">
        <v>715.7</v>
      </c>
      <c r="I26" s="1">
        <v>91.5</v>
      </c>
      <c r="J26" s="1">
        <v>11.36</v>
      </c>
      <c r="K26" s="1">
        <v>126.1</v>
      </c>
      <c r="L26" s="1">
        <v>82</v>
      </c>
      <c r="M26" s="1">
        <v>13.15</v>
      </c>
      <c r="N26" s="1"/>
      <c r="O26" s="1">
        <v>0.11</v>
      </c>
      <c r="P26" s="1">
        <v>0.03</v>
      </c>
      <c r="Q26" s="1">
        <v>0.23599999999999999</v>
      </c>
      <c r="S26" t="s">
        <v>203</v>
      </c>
      <c r="T26" s="20">
        <v>2470</v>
      </c>
    </row>
    <row r="27" spans="1:20" ht="15.75" customHeight="1" x14ac:dyDescent="0.15">
      <c r="A27" s="2">
        <v>45326</v>
      </c>
      <c r="B27" s="1" t="s">
        <v>55</v>
      </c>
      <c r="C27" s="3" t="str">
        <f t="shared" si="0"/>
        <v>37.14392</v>
      </c>
      <c r="D27" s="3">
        <f t="shared" si="1"/>
        <v>-80.562860000000001</v>
      </c>
      <c r="E27" s="1" t="s">
        <v>56</v>
      </c>
      <c r="F27" s="19">
        <v>4.6527777777777779E-2</v>
      </c>
      <c r="G27" s="1">
        <v>5.9</v>
      </c>
      <c r="H27" s="1">
        <v>715.7</v>
      </c>
      <c r="I27" s="1">
        <v>93.6</v>
      </c>
      <c r="J27" s="1">
        <v>11.69</v>
      </c>
      <c r="K27" s="1">
        <v>114.2</v>
      </c>
      <c r="L27" s="1">
        <v>74</v>
      </c>
      <c r="M27" s="1">
        <v>11.33</v>
      </c>
      <c r="N27" s="1"/>
      <c r="O27" s="1">
        <v>0.12</v>
      </c>
      <c r="P27" s="1">
        <v>0.04</v>
      </c>
      <c r="Q27" s="1">
        <v>0.252</v>
      </c>
      <c r="S27" t="s">
        <v>204</v>
      </c>
      <c r="T27" s="20">
        <v>2420</v>
      </c>
    </row>
    <row r="28" spans="1:20" ht="15.75" customHeight="1" x14ac:dyDescent="0.15">
      <c r="A28" s="2">
        <v>45326</v>
      </c>
      <c r="B28" s="1" t="s">
        <v>57</v>
      </c>
      <c r="C28" s="3" t="str">
        <f t="shared" si="0"/>
        <v>37.14350</v>
      </c>
      <c r="D28" s="3">
        <f t="shared" si="1"/>
        <v>-80.562510000000003</v>
      </c>
      <c r="E28" s="1" t="s">
        <v>58</v>
      </c>
      <c r="F28" s="19">
        <v>4.8611111111111112E-2</v>
      </c>
      <c r="G28" s="1">
        <v>5.6</v>
      </c>
      <c r="H28" s="1">
        <v>715.6</v>
      </c>
      <c r="I28" s="1">
        <v>92.3</v>
      </c>
      <c r="J28" s="1">
        <v>11.58</v>
      </c>
      <c r="K28" s="1">
        <v>151.1</v>
      </c>
      <c r="L28" s="1">
        <v>98</v>
      </c>
      <c r="M28" s="1">
        <v>8.5299999999999994</v>
      </c>
      <c r="N28" s="1"/>
      <c r="O28" s="1">
        <v>0.12</v>
      </c>
      <c r="P28" s="1">
        <v>0.03</v>
      </c>
      <c r="Q28" s="1">
        <v>0.377</v>
      </c>
      <c r="S28" t="s">
        <v>204</v>
      </c>
      <c r="T28" s="20">
        <v>2370</v>
      </c>
    </row>
    <row r="29" spans="1:20" ht="15.75" customHeight="1" x14ac:dyDescent="0.15">
      <c r="A29" s="2">
        <v>45330</v>
      </c>
      <c r="B29" s="1" t="s">
        <v>59</v>
      </c>
      <c r="C29" s="3" t="str">
        <f t="shared" si="0"/>
        <v>37.19731</v>
      </c>
      <c r="D29" s="3">
        <f t="shared" si="1"/>
        <v>-80.564160000000001</v>
      </c>
      <c r="E29" s="1" t="s">
        <v>60</v>
      </c>
      <c r="F29" s="19">
        <v>5.9722222222222225E-2</v>
      </c>
      <c r="G29" s="1">
        <v>5.3</v>
      </c>
      <c r="H29" s="1">
        <v>723.8</v>
      </c>
      <c r="I29" s="1">
        <v>90</v>
      </c>
      <c r="J29" s="1">
        <v>11.4</v>
      </c>
      <c r="K29" s="1">
        <v>137.69999999999999</v>
      </c>
      <c r="L29" s="1">
        <v>90</v>
      </c>
      <c r="M29" s="1">
        <v>11.69</v>
      </c>
      <c r="N29" s="1"/>
      <c r="O29" s="1">
        <v>7.0000000000000007E-2</v>
      </c>
      <c r="P29" s="1">
        <v>0</v>
      </c>
      <c r="Q29" s="1">
        <v>0.254</v>
      </c>
      <c r="R29" s="1" t="s">
        <v>205</v>
      </c>
      <c r="S29" t="s">
        <v>206</v>
      </c>
      <c r="T29" s="20">
        <v>3010</v>
      </c>
    </row>
    <row r="30" spans="1:20" ht="15.75" customHeight="1" x14ac:dyDescent="0.15">
      <c r="A30" s="2">
        <v>45330</v>
      </c>
      <c r="B30" s="1" t="s">
        <v>61</v>
      </c>
      <c r="C30" s="3" t="str">
        <f t="shared" si="0"/>
        <v>37.19731</v>
      </c>
      <c r="D30" s="3">
        <f t="shared" si="1"/>
        <v>-80.564160000000001</v>
      </c>
      <c r="E30" s="5" t="s">
        <v>60</v>
      </c>
      <c r="F30" s="19">
        <v>6.3888888888888884E-2</v>
      </c>
      <c r="G30" s="1">
        <v>5.0999999999999996</v>
      </c>
      <c r="H30" s="1">
        <v>723.7</v>
      </c>
      <c r="I30" s="1">
        <v>90.8</v>
      </c>
      <c r="J30" s="1">
        <v>11.56</v>
      </c>
      <c r="K30" s="1">
        <v>139.9</v>
      </c>
      <c r="L30" s="1">
        <v>91</v>
      </c>
      <c r="M30" s="1">
        <v>9.9499999999999993</v>
      </c>
      <c r="N30" s="1"/>
      <c r="O30" s="1">
        <v>0.09</v>
      </c>
      <c r="P30" s="1">
        <v>0.02</v>
      </c>
      <c r="Q30" s="1">
        <v>0.30499999999999999</v>
      </c>
      <c r="R30" s="1" t="s">
        <v>205</v>
      </c>
      <c r="S30" t="s">
        <v>207</v>
      </c>
      <c r="T30" s="21">
        <v>3010</v>
      </c>
    </row>
    <row r="31" spans="1:20" ht="15.75" customHeight="1" x14ac:dyDescent="0.15">
      <c r="A31" s="2">
        <v>45330</v>
      </c>
      <c r="B31" s="1" t="s">
        <v>62</v>
      </c>
      <c r="C31" s="3" t="str">
        <f t="shared" si="0"/>
        <v>37.19838</v>
      </c>
      <c r="D31" s="3">
        <f t="shared" si="1"/>
        <v>-80.565200000000004</v>
      </c>
      <c r="E31" s="1" t="s">
        <v>63</v>
      </c>
      <c r="F31" s="19">
        <v>6.805555555555555E-2</v>
      </c>
      <c r="G31" s="1">
        <v>5.0999999999999996</v>
      </c>
      <c r="H31" s="1">
        <v>723.6</v>
      </c>
      <c r="I31" s="1">
        <v>92.9</v>
      </c>
      <c r="J31" s="1">
        <v>11.81</v>
      </c>
      <c r="K31" s="1">
        <v>145.30000000000001</v>
      </c>
      <c r="L31" s="1">
        <v>94</v>
      </c>
      <c r="M31" s="1">
        <v>7.84</v>
      </c>
      <c r="N31" s="1"/>
      <c r="O31" s="1">
        <v>0.12</v>
      </c>
      <c r="P31" s="1">
        <v>7.0000000000000007E-2</v>
      </c>
      <c r="Q31" s="1">
        <v>0.25600000000000001</v>
      </c>
      <c r="R31" s="1" t="s">
        <v>205</v>
      </c>
      <c r="S31" t="s">
        <v>208</v>
      </c>
      <c r="T31" s="21">
        <f>(3010+2900)/2</f>
        <v>2955</v>
      </c>
    </row>
    <row r="32" spans="1:20" ht="15.75" customHeight="1" x14ac:dyDescent="0.15">
      <c r="A32" s="2">
        <v>45336</v>
      </c>
      <c r="B32" s="1" t="s">
        <v>64</v>
      </c>
      <c r="C32" s="3" t="str">
        <f t="shared" si="0"/>
        <v>37.19740</v>
      </c>
      <c r="D32" s="3">
        <f t="shared" si="1"/>
        <v>-80.563999999999993</v>
      </c>
      <c r="E32" s="8" t="s">
        <v>65</v>
      </c>
      <c r="F32" s="19">
        <v>4.3055555555555555E-2</v>
      </c>
      <c r="G32" s="1">
        <v>6.7</v>
      </c>
      <c r="H32" s="1">
        <v>721.6</v>
      </c>
      <c r="I32" s="1">
        <v>88.5</v>
      </c>
      <c r="J32" s="1">
        <v>10.82</v>
      </c>
      <c r="K32" s="1">
        <v>121.1</v>
      </c>
      <c r="L32" s="1">
        <v>79</v>
      </c>
      <c r="M32" s="1">
        <v>13.99</v>
      </c>
      <c r="N32" s="1"/>
      <c r="O32" s="1">
        <v>0.22</v>
      </c>
      <c r="P32" s="1">
        <v>0.03</v>
      </c>
      <c r="Q32" s="1">
        <v>0.2</v>
      </c>
      <c r="S32" t="s">
        <v>209</v>
      </c>
      <c r="T32" s="21">
        <v>7810</v>
      </c>
    </row>
    <row r="33" spans="1:20" ht="15.75" customHeight="1" x14ac:dyDescent="0.15">
      <c r="A33" s="2">
        <v>45336</v>
      </c>
      <c r="B33" s="1" t="s">
        <v>66</v>
      </c>
      <c r="C33" s="3" t="str">
        <f t="shared" si="0"/>
        <v>37.19795</v>
      </c>
      <c r="D33" s="3">
        <f t="shared" si="1"/>
        <v>-80.564660000000003</v>
      </c>
      <c r="E33" s="9" t="s">
        <v>67</v>
      </c>
      <c r="F33" s="19">
        <v>5.0694444444444445E-2</v>
      </c>
      <c r="G33" s="1">
        <v>6.6</v>
      </c>
      <c r="H33" s="1">
        <v>721.7</v>
      </c>
      <c r="I33" s="1">
        <v>94.1</v>
      </c>
      <c r="J33" s="1">
        <v>11.53</v>
      </c>
      <c r="K33" s="1">
        <v>121.6</v>
      </c>
      <c r="L33" s="1">
        <v>79</v>
      </c>
      <c r="M33" s="1">
        <v>10.06</v>
      </c>
      <c r="N33" s="1"/>
      <c r="O33" s="1">
        <v>0.21</v>
      </c>
      <c r="P33" s="1">
        <v>0.04</v>
      </c>
      <c r="Q33" s="1">
        <v>0.20699999999999999</v>
      </c>
      <c r="S33" t="s">
        <v>210</v>
      </c>
      <c r="T33" s="21">
        <v>7770</v>
      </c>
    </row>
    <row r="34" spans="1:20" ht="15.75" customHeight="1" x14ac:dyDescent="0.15">
      <c r="A34" s="2">
        <v>45336</v>
      </c>
      <c r="B34" s="1" t="s">
        <v>68</v>
      </c>
      <c r="C34" s="3" t="str">
        <f t="shared" si="0"/>
        <v>37.19838</v>
      </c>
      <c r="D34" s="3">
        <f t="shared" si="1"/>
        <v>-80.565079999999995</v>
      </c>
      <c r="E34" s="9" t="s">
        <v>69</v>
      </c>
      <c r="F34" s="19">
        <v>5.4166666666666669E-2</v>
      </c>
      <c r="G34" s="1">
        <v>6.7</v>
      </c>
      <c r="H34" s="1">
        <v>721.4</v>
      </c>
      <c r="I34" s="1">
        <v>93.7</v>
      </c>
      <c r="J34" s="1">
        <v>11.48</v>
      </c>
      <c r="K34" s="1">
        <v>123.2</v>
      </c>
      <c r="L34" s="1">
        <v>80</v>
      </c>
      <c r="M34" s="1">
        <v>10.119999999999999</v>
      </c>
      <c r="N34" s="1"/>
      <c r="O34" s="1">
        <v>0.23</v>
      </c>
      <c r="P34" s="1">
        <v>0.01</v>
      </c>
      <c r="Q34" s="1">
        <v>0.36099999999999999</v>
      </c>
      <c r="S34" t="s">
        <v>210</v>
      </c>
      <c r="T34" s="21">
        <v>7770</v>
      </c>
    </row>
    <row r="35" spans="1:20" ht="15.75" customHeight="1" x14ac:dyDescent="0.15">
      <c r="A35" s="2">
        <v>45347</v>
      </c>
      <c r="B35" s="1" t="s">
        <v>70</v>
      </c>
      <c r="C35" s="3" t="str">
        <f t="shared" si="0"/>
        <v>37.14409</v>
      </c>
      <c r="D35" s="3">
        <f t="shared" si="1"/>
        <v>-80.563239999999993</v>
      </c>
      <c r="E35" s="1" t="s">
        <v>71</v>
      </c>
      <c r="F35" s="19">
        <v>0.51875000000000004</v>
      </c>
      <c r="G35" s="1">
        <v>7.1</v>
      </c>
      <c r="H35" s="1">
        <v>720.2</v>
      </c>
      <c r="I35" s="1">
        <v>90.3</v>
      </c>
      <c r="J35" s="1">
        <v>10.94</v>
      </c>
      <c r="K35" s="1">
        <v>124.3</v>
      </c>
      <c r="L35" s="1">
        <v>81</v>
      </c>
      <c r="M35" s="1">
        <v>4.28</v>
      </c>
      <c r="N35" s="1"/>
      <c r="O35" s="1">
        <v>0.12</v>
      </c>
      <c r="P35" s="1">
        <v>0.08</v>
      </c>
      <c r="Q35" s="1">
        <v>0.20200000000000001</v>
      </c>
      <c r="R35" s="1" t="s">
        <v>211</v>
      </c>
      <c r="S35" s="18" t="s">
        <v>212</v>
      </c>
      <c r="T35" s="21">
        <v>3870</v>
      </c>
    </row>
    <row r="36" spans="1:20" ht="15.75" customHeight="1" x14ac:dyDescent="0.15">
      <c r="A36" s="2">
        <v>45347</v>
      </c>
      <c r="B36" s="1" t="s">
        <v>72</v>
      </c>
      <c r="C36" s="10" t="str">
        <f t="shared" si="0"/>
        <v>37.14388</v>
      </c>
      <c r="D36" s="11">
        <f t="shared" si="1"/>
        <v>-80.562730000000002</v>
      </c>
      <c r="E36" s="1" t="s">
        <v>73</v>
      </c>
      <c r="F36" s="19">
        <v>0.52083333333333337</v>
      </c>
      <c r="G36" s="1">
        <v>7.1</v>
      </c>
      <c r="H36" s="1">
        <v>720.1</v>
      </c>
      <c r="I36" s="1">
        <v>90</v>
      </c>
      <c r="J36" s="1">
        <v>10.91</v>
      </c>
      <c r="K36" s="1">
        <v>119.7</v>
      </c>
      <c r="L36" s="1">
        <v>78</v>
      </c>
      <c r="M36" s="1">
        <v>4.05</v>
      </c>
      <c r="N36" s="1"/>
      <c r="O36" s="1">
        <v>0.09</v>
      </c>
      <c r="P36" s="1">
        <v>0.05</v>
      </c>
      <c r="Q36" s="1">
        <v>0.38800000000000001</v>
      </c>
      <c r="R36" s="1" t="s">
        <v>211</v>
      </c>
      <c r="S36" s="18" t="s">
        <v>213</v>
      </c>
      <c r="T36" s="21">
        <v>3870</v>
      </c>
    </row>
    <row r="37" spans="1:20" ht="15.75" customHeight="1" x14ac:dyDescent="0.15">
      <c r="A37" s="2">
        <v>45347</v>
      </c>
      <c r="B37" s="1" t="s">
        <v>74</v>
      </c>
      <c r="C37" s="10" t="str">
        <f t="shared" si="0"/>
        <v>37.14358</v>
      </c>
      <c r="D37" s="11">
        <f t="shared" si="1"/>
        <v>-80.562539999999998</v>
      </c>
      <c r="E37" s="1" t="s">
        <v>75</v>
      </c>
      <c r="F37" s="19">
        <v>0.5229166666666667</v>
      </c>
      <c r="G37" s="1">
        <v>6.7</v>
      </c>
      <c r="H37" s="1">
        <v>720.2</v>
      </c>
      <c r="I37" s="1">
        <v>88.4</v>
      </c>
      <c r="J37" s="1">
        <v>10.81</v>
      </c>
      <c r="K37" s="1">
        <v>134</v>
      </c>
      <c r="L37" s="1">
        <v>87</v>
      </c>
      <c r="M37" s="1">
        <v>4.12</v>
      </c>
      <c r="N37" s="1"/>
      <c r="O37" s="1">
        <v>0.08</v>
      </c>
      <c r="P37" s="1">
        <v>0.04</v>
      </c>
      <c r="Q37" s="1">
        <v>0.374</v>
      </c>
      <c r="R37" s="1" t="s">
        <v>211</v>
      </c>
      <c r="S37" s="18" t="s">
        <v>214</v>
      </c>
      <c r="T37" s="21">
        <v>3870</v>
      </c>
    </row>
    <row r="38" spans="1:20" ht="15.75" customHeight="1" x14ac:dyDescent="0.15">
      <c r="A38" s="2">
        <v>45356</v>
      </c>
      <c r="B38" s="1" t="s">
        <v>76</v>
      </c>
      <c r="C38" s="10" t="str">
        <f t="shared" si="0"/>
        <v>37.14408</v>
      </c>
      <c r="D38" s="11">
        <f t="shared" si="1"/>
        <v>-80.563239999999993</v>
      </c>
      <c r="E38" s="9" t="s">
        <v>77</v>
      </c>
      <c r="F38" s="19">
        <v>0.53333333333333333</v>
      </c>
      <c r="G38" s="1">
        <v>8.1</v>
      </c>
      <c r="H38" s="1">
        <v>718.4</v>
      </c>
      <c r="I38" s="1">
        <v>95.7</v>
      </c>
      <c r="J38" s="1">
        <v>11.3</v>
      </c>
      <c r="K38" s="1">
        <v>122.7</v>
      </c>
      <c r="L38" s="1">
        <v>80</v>
      </c>
      <c r="M38" s="1">
        <v>5.18</v>
      </c>
      <c r="N38" s="1"/>
      <c r="O38" s="1">
        <v>0.16</v>
      </c>
      <c r="P38" s="1">
        <v>0.04</v>
      </c>
      <c r="Q38" s="1">
        <v>0.59499999999999997</v>
      </c>
      <c r="R38" s="1" t="s">
        <v>211</v>
      </c>
      <c r="S38" s="18" t="s">
        <v>215</v>
      </c>
      <c r="T38" s="21">
        <v>5010</v>
      </c>
    </row>
    <row r="39" spans="1:20" ht="15.75" customHeight="1" x14ac:dyDescent="0.15">
      <c r="A39" s="2">
        <v>45356</v>
      </c>
      <c r="B39" s="1" t="s">
        <v>78</v>
      </c>
      <c r="C39" s="10" t="str">
        <f>LEFT(E39,8)</f>
        <v>37.14379</v>
      </c>
      <c r="D39" s="11">
        <f>MID(E39, 13, 9) *-1</f>
        <v>-80.563010000000006</v>
      </c>
      <c r="E39" s="9" t="s">
        <v>79</v>
      </c>
      <c r="F39" s="19">
        <v>0.53541666666666665</v>
      </c>
      <c r="G39" s="1">
        <v>8.5</v>
      </c>
      <c r="H39" s="1">
        <v>718.4</v>
      </c>
      <c r="I39" s="1">
        <v>93</v>
      </c>
      <c r="J39" s="1">
        <v>10.88</v>
      </c>
      <c r="K39" s="1">
        <v>116.6</v>
      </c>
      <c r="L39" s="1">
        <v>76</v>
      </c>
      <c r="M39" s="1">
        <v>6.5</v>
      </c>
      <c r="N39" s="1"/>
      <c r="O39" s="1">
        <v>0.12</v>
      </c>
      <c r="P39" s="1">
        <v>0.03</v>
      </c>
      <c r="Q39" s="1">
        <v>0.223</v>
      </c>
      <c r="R39" s="1" t="s">
        <v>211</v>
      </c>
      <c r="S39" s="18" t="s">
        <v>215</v>
      </c>
      <c r="T39">
        <v>5010</v>
      </c>
    </row>
    <row r="40" spans="1:20" ht="15.75" customHeight="1" x14ac:dyDescent="0.15">
      <c r="A40" s="2">
        <v>45356</v>
      </c>
      <c r="B40" s="1" t="s">
        <v>80</v>
      </c>
      <c r="C40" s="10" t="str">
        <f t="shared" ref="C40:C52" si="2">LEFT(E40, 8)</f>
        <v>37.14358</v>
      </c>
      <c r="D40" s="11">
        <f t="shared" ref="D40:D52" si="3">MID(E40, 13, 8) *-1</f>
        <v>-80.562420000000003</v>
      </c>
      <c r="E40" s="9" t="s">
        <v>81</v>
      </c>
      <c r="F40" s="19">
        <v>0.53611111111111109</v>
      </c>
      <c r="G40" s="1">
        <v>9.6999999999999993</v>
      </c>
      <c r="H40" s="1">
        <v>718.4</v>
      </c>
      <c r="I40" s="1">
        <v>92.9</v>
      </c>
      <c r="J40" s="1">
        <v>10.55</v>
      </c>
      <c r="K40" s="1">
        <v>122.3</v>
      </c>
      <c r="L40" s="1">
        <v>79</v>
      </c>
      <c r="M40" s="1">
        <v>5.53</v>
      </c>
      <c r="N40" s="1"/>
      <c r="O40" s="1">
        <v>0.1</v>
      </c>
      <c r="P40" s="1">
        <v>0.03</v>
      </c>
      <c r="Q40" s="1">
        <v>0.36499999999999999</v>
      </c>
      <c r="R40" s="1" t="s">
        <v>211</v>
      </c>
      <c r="S40" t="s">
        <v>216</v>
      </c>
      <c r="T40">
        <v>5130</v>
      </c>
    </row>
    <row r="41" spans="1:20" ht="15.75" customHeight="1" x14ac:dyDescent="0.15">
      <c r="A41" s="2">
        <v>45356</v>
      </c>
      <c r="B41" s="1" t="s">
        <v>82</v>
      </c>
      <c r="C41" s="10" t="str">
        <f t="shared" si="2"/>
        <v>37.19757</v>
      </c>
      <c r="D41" s="11">
        <f t="shared" si="3"/>
        <v>-80.564019999999999</v>
      </c>
      <c r="E41" s="9" t="s">
        <v>83</v>
      </c>
      <c r="F41" s="24">
        <v>7.013888888888889E-2</v>
      </c>
      <c r="G41" s="23">
        <v>8.4</v>
      </c>
      <c r="H41" s="23">
        <v>718.9</v>
      </c>
      <c r="I41" s="23">
        <v>92</v>
      </c>
      <c r="J41" s="23">
        <v>10.79</v>
      </c>
      <c r="K41" s="23">
        <v>129.80000000000001</v>
      </c>
      <c r="L41" s="23">
        <v>84</v>
      </c>
      <c r="M41" s="23">
        <v>5.17</v>
      </c>
      <c r="N41" s="23"/>
      <c r="O41" s="23">
        <v>0.05</v>
      </c>
      <c r="P41" s="23">
        <v>0</v>
      </c>
      <c r="Q41" s="23">
        <v>0.27300000000000002</v>
      </c>
      <c r="R41" s="1" t="s">
        <v>211</v>
      </c>
      <c r="S41" t="s">
        <v>217</v>
      </c>
      <c r="T41">
        <v>5310</v>
      </c>
    </row>
    <row r="42" spans="1:20" ht="15.75" customHeight="1" x14ac:dyDescent="0.15">
      <c r="A42" s="2">
        <v>45356</v>
      </c>
      <c r="B42" s="1" t="s">
        <v>84</v>
      </c>
      <c r="C42" s="10" t="str">
        <f t="shared" si="2"/>
        <v>37.19787</v>
      </c>
      <c r="D42" s="11">
        <f t="shared" si="3"/>
        <v>-80.564790000000002</v>
      </c>
      <c r="E42" s="9" t="s">
        <v>85</v>
      </c>
      <c r="F42" s="19">
        <v>7.2916666666666671E-2</v>
      </c>
      <c r="G42" s="1">
        <v>8.1999999999999993</v>
      </c>
      <c r="H42" s="1">
        <v>718.7</v>
      </c>
      <c r="I42" s="1">
        <v>90.1</v>
      </c>
      <c r="J42" s="1">
        <v>10.62</v>
      </c>
      <c r="K42" s="1">
        <v>132.5</v>
      </c>
      <c r="L42" s="1">
        <v>86</v>
      </c>
      <c r="M42" s="1">
        <v>3.15</v>
      </c>
      <c r="N42" s="1"/>
      <c r="O42" s="1">
        <v>0.04</v>
      </c>
      <c r="P42" s="1">
        <v>0.04</v>
      </c>
      <c r="Q42" s="1">
        <v>0.28199999999999997</v>
      </c>
      <c r="R42" s="1" t="s">
        <v>211</v>
      </c>
      <c r="S42" t="s">
        <v>217</v>
      </c>
      <c r="T42">
        <v>5310</v>
      </c>
    </row>
    <row r="43" spans="1:20" ht="15.75" customHeight="1" x14ac:dyDescent="0.15">
      <c r="A43" s="2">
        <v>45356</v>
      </c>
      <c r="B43" s="1" t="s">
        <v>86</v>
      </c>
      <c r="C43" s="10" t="str">
        <f t="shared" si="2"/>
        <v>37.19850</v>
      </c>
      <c r="D43" s="11">
        <f t="shared" si="3"/>
        <v>-80.565039999999996</v>
      </c>
      <c r="E43" s="9" t="s">
        <v>52</v>
      </c>
      <c r="F43" s="19">
        <v>7.6388888888888895E-2</v>
      </c>
      <c r="G43" s="1">
        <v>8.4</v>
      </c>
      <c r="H43" s="1">
        <v>718.2</v>
      </c>
      <c r="I43" s="1">
        <v>91.7</v>
      </c>
      <c r="J43" s="1">
        <v>10.75</v>
      </c>
      <c r="K43" s="1">
        <v>136.4</v>
      </c>
      <c r="L43" s="1">
        <v>89</v>
      </c>
      <c r="M43" s="1">
        <v>2.59</v>
      </c>
      <c r="N43" s="1"/>
      <c r="O43" s="1">
        <v>0.03</v>
      </c>
      <c r="P43" s="1">
        <v>7.0000000000000007E-2</v>
      </c>
      <c r="Q43" s="1">
        <v>0.20399999999999999</v>
      </c>
      <c r="R43" s="1" t="s">
        <v>211</v>
      </c>
      <c r="S43" t="s">
        <v>218</v>
      </c>
      <c r="T43">
        <v>5310</v>
      </c>
    </row>
    <row r="44" spans="1:20" ht="15.75" customHeight="1" x14ac:dyDescent="0.15">
      <c r="A44" s="26">
        <v>45364</v>
      </c>
      <c r="B44" s="1" t="s">
        <v>87</v>
      </c>
      <c r="C44" s="10" t="str">
        <f t="shared" si="2"/>
        <v>37.14442</v>
      </c>
      <c r="D44" s="11">
        <f t="shared" si="3"/>
        <v>-80.562489999999997</v>
      </c>
      <c r="E44" s="9" t="s">
        <v>88</v>
      </c>
      <c r="F44" s="18">
        <v>0.22777777777777777</v>
      </c>
      <c r="G44">
        <v>9.5</v>
      </c>
      <c r="H44">
        <v>716</v>
      </c>
      <c r="I44">
        <v>93.9</v>
      </c>
      <c r="J44">
        <v>10.71</v>
      </c>
      <c r="K44">
        <v>120.6</v>
      </c>
      <c r="L44">
        <v>78</v>
      </c>
      <c r="M44">
        <v>5.28</v>
      </c>
      <c r="O44">
        <v>0.08</v>
      </c>
      <c r="P44">
        <v>0.04</v>
      </c>
      <c r="Q44">
        <v>0.24199999999999999</v>
      </c>
    </row>
    <row r="45" spans="1:20" ht="15.75" customHeight="1" x14ac:dyDescent="0.15">
      <c r="A45" s="26">
        <v>45364</v>
      </c>
      <c r="B45" s="1" t="s">
        <v>89</v>
      </c>
      <c r="C45" s="10" t="str">
        <f t="shared" si="2"/>
        <v>37.14343</v>
      </c>
      <c r="D45" s="11">
        <f t="shared" si="3"/>
        <v>-80.563190000000006</v>
      </c>
      <c r="E45" s="9" t="s">
        <v>90</v>
      </c>
      <c r="F45" s="18">
        <v>0.24166666666666667</v>
      </c>
      <c r="G45">
        <v>9.8000000000000007</v>
      </c>
      <c r="H45">
        <v>716.2</v>
      </c>
      <c r="I45">
        <v>94.3</v>
      </c>
      <c r="J45">
        <v>10.69</v>
      </c>
      <c r="K45">
        <v>119.1</v>
      </c>
      <c r="L45">
        <v>77</v>
      </c>
      <c r="M45">
        <v>2.8</v>
      </c>
      <c r="O45">
        <v>0.1</v>
      </c>
      <c r="P45">
        <v>0.01</v>
      </c>
      <c r="Q45">
        <v>0.32500000000000001</v>
      </c>
    </row>
    <row r="46" spans="1:20" ht="15.75" customHeight="1" x14ac:dyDescent="0.15">
      <c r="A46" s="26">
        <v>45364</v>
      </c>
      <c r="B46" s="1" t="s">
        <v>91</v>
      </c>
      <c r="C46" s="10" t="str">
        <f t="shared" si="2"/>
        <v>37.14346</v>
      </c>
      <c r="D46" s="11">
        <f t="shared" si="3"/>
        <v>-80.562709999999996</v>
      </c>
      <c r="E46" s="9" t="s">
        <v>92</v>
      </c>
      <c r="F46" s="18">
        <v>0.24374999999999999</v>
      </c>
      <c r="G46">
        <v>10</v>
      </c>
      <c r="H46">
        <v>716.2</v>
      </c>
      <c r="I46">
        <v>95.8</v>
      </c>
      <c r="J46">
        <v>10.79</v>
      </c>
      <c r="K46">
        <v>119.5</v>
      </c>
      <c r="L46">
        <v>78</v>
      </c>
      <c r="M46">
        <v>2.63</v>
      </c>
      <c r="O46">
        <v>0.14000000000000001</v>
      </c>
      <c r="P46">
        <v>0.05</v>
      </c>
      <c r="Q46">
        <v>0.28799999999999998</v>
      </c>
    </row>
    <row r="47" spans="1:20" ht="15.75" customHeight="1" x14ac:dyDescent="0.15">
      <c r="A47" s="26">
        <v>45367</v>
      </c>
      <c r="B47" s="1" t="s">
        <v>93</v>
      </c>
      <c r="C47" s="10" t="str">
        <f t="shared" si="2"/>
        <v>37.19752</v>
      </c>
      <c r="D47" s="11">
        <f t="shared" si="3"/>
        <v>-80.563910000000007</v>
      </c>
      <c r="E47" t="s">
        <v>94</v>
      </c>
      <c r="F47" s="18">
        <v>0.52916666666666667</v>
      </c>
      <c r="G47">
        <v>10.7</v>
      </c>
      <c r="H47">
        <v>717</v>
      </c>
      <c r="I47">
        <v>87</v>
      </c>
      <c r="J47">
        <v>9.66</v>
      </c>
      <c r="K47">
        <v>127.1</v>
      </c>
      <c r="L47">
        <v>83</v>
      </c>
      <c r="M47">
        <v>6.52</v>
      </c>
      <c r="O47">
        <v>-0.01</v>
      </c>
      <c r="P47">
        <v>-0.03</v>
      </c>
      <c r="Q47">
        <v>0.26</v>
      </c>
    </row>
    <row r="48" spans="1:20" ht="15.75" customHeight="1" x14ac:dyDescent="0.15">
      <c r="A48" s="26">
        <v>45367</v>
      </c>
      <c r="B48" s="1" t="s">
        <v>95</v>
      </c>
      <c r="C48" s="10" t="str">
        <f t="shared" si="2"/>
        <v>37.19775</v>
      </c>
      <c r="D48" s="11">
        <f t="shared" si="3"/>
        <v>-80.564689999999999</v>
      </c>
      <c r="E48" t="s">
        <v>96</v>
      </c>
      <c r="F48" s="18">
        <v>0.53125</v>
      </c>
      <c r="G48">
        <v>10.5</v>
      </c>
      <c r="H48">
        <v>716.9</v>
      </c>
      <c r="I48">
        <v>90.2</v>
      </c>
      <c r="J48">
        <v>10.06</v>
      </c>
      <c r="K48">
        <v>127.8</v>
      </c>
      <c r="L48">
        <v>83</v>
      </c>
      <c r="M48">
        <v>4.2699999999999996</v>
      </c>
      <c r="O48">
        <v>0.08</v>
      </c>
      <c r="P48">
        <v>0.02</v>
      </c>
      <c r="Q48">
        <v>0.315</v>
      </c>
    </row>
    <row r="49" spans="1:18" ht="15.75" customHeight="1" x14ac:dyDescent="0.15">
      <c r="A49" s="26">
        <v>45367</v>
      </c>
      <c r="B49" s="1" t="s">
        <v>97</v>
      </c>
      <c r="C49" s="10" t="str">
        <f t="shared" si="2"/>
        <v>37.19835</v>
      </c>
      <c r="D49" s="11">
        <f t="shared" si="3"/>
        <v>-80.565060000000003</v>
      </c>
      <c r="E49" t="s">
        <v>98</v>
      </c>
      <c r="F49" s="18">
        <v>0.53402777777777777</v>
      </c>
      <c r="G49">
        <v>10.5</v>
      </c>
      <c r="H49">
        <v>716.9</v>
      </c>
      <c r="I49">
        <v>90.8</v>
      </c>
      <c r="J49">
        <v>10.130000000000001</v>
      </c>
      <c r="K49">
        <v>130.80000000000001</v>
      </c>
      <c r="L49">
        <v>85</v>
      </c>
      <c r="M49">
        <v>2.23</v>
      </c>
      <c r="O49">
        <v>7.0000000000000007E-2</v>
      </c>
      <c r="P49">
        <v>0.02</v>
      </c>
      <c r="Q49">
        <v>0.33800000000000002</v>
      </c>
    </row>
    <row r="50" spans="1:18" ht="15.75" customHeight="1" x14ac:dyDescent="0.15">
      <c r="A50" s="26">
        <v>45375</v>
      </c>
      <c r="B50" s="1" t="s">
        <v>99</v>
      </c>
      <c r="C50" s="10" t="str">
        <f t="shared" si="2"/>
        <v>37.14419</v>
      </c>
      <c r="D50" s="11">
        <f t="shared" si="3"/>
        <v>-80.563079999999999</v>
      </c>
      <c r="E50" t="s">
        <v>100</v>
      </c>
      <c r="F50" s="18">
        <v>0.52638888888888891</v>
      </c>
      <c r="G50">
        <v>10.199999999999999</v>
      </c>
      <c r="H50">
        <v>722.3</v>
      </c>
      <c r="I50">
        <v>93.4</v>
      </c>
      <c r="J50">
        <v>10.49</v>
      </c>
      <c r="K50">
        <v>109.6</v>
      </c>
      <c r="L50">
        <v>71</v>
      </c>
      <c r="M50">
        <v>6.27</v>
      </c>
      <c r="O50">
        <v>7.0000000000000007E-2</v>
      </c>
      <c r="P50">
        <v>-0.02</v>
      </c>
      <c r="Q50">
        <v>0.36199999999999999</v>
      </c>
    </row>
    <row r="51" spans="1:18" ht="15.75" customHeight="1" x14ac:dyDescent="0.15">
      <c r="A51" s="26">
        <v>45375</v>
      </c>
      <c r="B51" s="1" t="s">
        <v>101</v>
      </c>
      <c r="C51" s="10" t="str">
        <f t="shared" si="2"/>
        <v>37.14426</v>
      </c>
      <c r="D51" s="11">
        <f t="shared" si="3"/>
        <v>-80.562299999999993</v>
      </c>
      <c r="E51" t="s">
        <v>102</v>
      </c>
      <c r="F51" s="18">
        <v>0.52847222222222223</v>
      </c>
      <c r="G51">
        <v>10.1</v>
      </c>
      <c r="H51">
        <v>722.1</v>
      </c>
      <c r="I51">
        <v>96.1</v>
      </c>
      <c r="J51">
        <v>10.82</v>
      </c>
      <c r="K51">
        <v>107.7</v>
      </c>
      <c r="L51">
        <v>70</v>
      </c>
      <c r="M51">
        <v>2.37</v>
      </c>
      <c r="O51">
        <v>0.13</v>
      </c>
      <c r="P51">
        <v>-0.01</v>
      </c>
      <c r="Q51">
        <v>0.217</v>
      </c>
    </row>
    <row r="52" spans="1:18" ht="15.75" customHeight="1" x14ac:dyDescent="0.15">
      <c r="A52" s="26">
        <v>45375</v>
      </c>
      <c r="B52" s="1" t="s">
        <v>103</v>
      </c>
      <c r="C52" s="10" t="str">
        <f t="shared" si="2"/>
        <v>37.14366</v>
      </c>
      <c r="D52" s="11">
        <f t="shared" si="3"/>
        <v>-80.562219999999996</v>
      </c>
      <c r="E52" t="s">
        <v>104</v>
      </c>
      <c r="F52" s="18">
        <v>0.53194444444444444</v>
      </c>
      <c r="G52">
        <v>10.1</v>
      </c>
      <c r="H52">
        <v>722.3</v>
      </c>
      <c r="I52">
        <v>95</v>
      </c>
      <c r="J52">
        <v>10.7</v>
      </c>
      <c r="K52">
        <v>130.9</v>
      </c>
      <c r="L52">
        <v>85</v>
      </c>
      <c r="M52">
        <v>3.38</v>
      </c>
      <c r="O52">
        <v>7.0000000000000007E-2</v>
      </c>
      <c r="P52">
        <v>0.03</v>
      </c>
      <c r="Q52">
        <v>0.34799999999999998</v>
      </c>
    </row>
    <row r="53" spans="1:18" ht="15.75" customHeight="1" x14ac:dyDescent="0.15">
      <c r="A53" s="26">
        <v>45389</v>
      </c>
      <c r="B53" s="1" t="s">
        <v>105</v>
      </c>
      <c r="C53" s="10" t="str">
        <f t="shared" ref="C53:C56" si="4">LEFT(E53, 8)</f>
        <v>37.19753</v>
      </c>
      <c r="D53" s="11">
        <f t="shared" ref="D53:D56" si="5">MID(E53, 13, 8) *-1</f>
        <v>-80.563969999999998</v>
      </c>
      <c r="E53" t="s">
        <v>106</v>
      </c>
      <c r="F53" s="18">
        <v>0.49722222222222223</v>
      </c>
      <c r="G53">
        <v>11.4</v>
      </c>
      <c r="H53">
        <v>722.6</v>
      </c>
      <c r="I53">
        <v>101.2</v>
      </c>
      <c r="J53">
        <v>11.05</v>
      </c>
      <c r="K53">
        <v>124.7</v>
      </c>
      <c r="L53">
        <v>81</v>
      </c>
      <c r="M53">
        <v>4.0199999999999996</v>
      </c>
      <c r="O53">
        <v>0.1</v>
      </c>
      <c r="P53">
        <v>0.04</v>
      </c>
      <c r="Q53">
        <v>0.30399999999999999</v>
      </c>
      <c r="R53" s="1" t="s">
        <v>211</v>
      </c>
    </row>
    <row r="54" spans="1:18" ht="15.75" customHeight="1" x14ac:dyDescent="0.15">
      <c r="A54" s="26">
        <v>45389</v>
      </c>
      <c r="B54" s="1" t="s">
        <v>107</v>
      </c>
      <c r="C54" s="10" t="str">
        <f t="shared" si="4"/>
        <v>37.19913</v>
      </c>
      <c r="D54" s="11">
        <f t="shared" si="5"/>
        <v>-80.561989999999994</v>
      </c>
      <c r="E54" t="s">
        <v>108</v>
      </c>
      <c r="F54" s="18">
        <v>0.52847222222222223</v>
      </c>
      <c r="G54">
        <v>11.2</v>
      </c>
      <c r="H54">
        <v>722.3</v>
      </c>
      <c r="I54">
        <v>99.9</v>
      </c>
      <c r="J54">
        <v>10.95</v>
      </c>
      <c r="K54">
        <v>124.3</v>
      </c>
      <c r="L54">
        <v>81</v>
      </c>
      <c r="M54">
        <v>3.82</v>
      </c>
      <c r="O54">
        <v>0.13</v>
      </c>
      <c r="P54">
        <v>0</v>
      </c>
      <c r="Q54">
        <v>0.32500000000000001</v>
      </c>
      <c r="R54" s="1" t="s">
        <v>211</v>
      </c>
    </row>
    <row r="55" spans="1:18" ht="15.75" customHeight="1" x14ac:dyDescent="0.15">
      <c r="A55" s="26">
        <v>45389</v>
      </c>
      <c r="B55" s="1" t="s">
        <v>109</v>
      </c>
      <c r="C55" s="10" t="str">
        <f t="shared" si="4"/>
        <v>37.19835</v>
      </c>
      <c r="D55" s="11">
        <f t="shared" si="5"/>
        <v>-80.565100000000001</v>
      </c>
      <c r="E55" t="s">
        <v>110</v>
      </c>
      <c r="F55" s="18">
        <v>0.53541666666666665</v>
      </c>
      <c r="G55">
        <v>11.4</v>
      </c>
      <c r="H55">
        <v>722.2</v>
      </c>
      <c r="I55">
        <v>102.2</v>
      </c>
      <c r="J55">
        <v>11.17</v>
      </c>
      <c r="K55">
        <v>126.9</v>
      </c>
      <c r="L55">
        <v>82</v>
      </c>
      <c r="M55">
        <v>1.34</v>
      </c>
      <c r="O55">
        <v>7.0000000000000007E-2</v>
      </c>
      <c r="P55">
        <v>0.02</v>
      </c>
      <c r="Q55">
        <v>0.33400000000000002</v>
      </c>
      <c r="R55" s="1" t="s">
        <v>211</v>
      </c>
    </row>
    <row r="56" spans="1:18" ht="15.75" customHeight="1" x14ac:dyDescent="0.15">
      <c r="A56" s="26">
        <v>45389</v>
      </c>
      <c r="B56" s="1" t="s">
        <v>111</v>
      </c>
      <c r="C56" s="10" t="str">
        <f t="shared" si="4"/>
        <v>37.20054</v>
      </c>
      <c r="D56" s="11">
        <f t="shared" si="5"/>
        <v>-80.553629999999998</v>
      </c>
      <c r="E56" t="s">
        <v>112</v>
      </c>
      <c r="F56" s="18">
        <v>0.51458333333333328</v>
      </c>
      <c r="G56">
        <v>11.4</v>
      </c>
      <c r="H56">
        <v>722.4</v>
      </c>
      <c r="I56">
        <v>100.2</v>
      </c>
      <c r="J56">
        <v>10.95</v>
      </c>
      <c r="K56">
        <v>123.4</v>
      </c>
      <c r="L56">
        <v>80</v>
      </c>
      <c r="M56">
        <v>5.04</v>
      </c>
      <c r="O56">
        <v>0.04</v>
      </c>
      <c r="P56">
        <v>-0.02</v>
      </c>
      <c r="Q56">
        <v>0.26900000000000002</v>
      </c>
      <c r="R56" s="1" t="s">
        <v>211</v>
      </c>
    </row>
    <row r="57" spans="1:18" ht="15.75" customHeight="1" x14ac:dyDescent="0.2">
      <c r="A57" s="28">
        <v>45410</v>
      </c>
      <c r="B57" s="25" t="s">
        <v>113</v>
      </c>
      <c r="C57" s="25">
        <v>37.144039999999997</v>
      </c>
      <c r="D57" s="25">
        <v>-80.563419999999994</v>
      </c>
      <c r="E57" s="29" t="s">
        <v>114</v>
      </c>
      <c r="F57" s="18">
        <v>0.54027777777777775</v>
      </c>
      <c r="G57">
        <v>16.3</v>
      </c>
      <c r="H57">
        <v>723.1</v>
      </c>
      <c r="I57">
        <v>97.2</v>
      </c>
      <c r="J57">
        <v>9.5399999999999991</v>
      </c>
      <c r="K57">
        <v>101.7</v>
      </c>
      <c r="L57">
        <v>66</v>
      </c>
      <c r="M57">
        <v>2.0299999999999998</v>
      </c>
      <c r="N57">
        <v>0.4</v>
      </c>
      <c r="O57">
        <v>0.14000000000000001</v>
      </c>
      <c r="P57">
        <v>0.01</v>
      </c>
      <c r="Q57">
        <v>0.23400000000000001</v>
      </c>
    </row>
    <row r="58" spans="1:18" ht="15.75" customHeight="1" x14ac:dyDescent="0.2">
      <c r="A58" s="28">
        <v>45410</v>
      </c>
      <c r="B58" s="25" t="s">
        <v>115</v>
      </c>
      <c r="C58" s="25">
        <v>37.143880000000003</v>
      </c>
      <c r="D58" s="25">
        <v>-80.562920000000005</v>
      </c>
      <c r="E58" s="29" t="s">
        <v>116</v>
      </c>
      <c r="F58" s="18">
        <v>4.1666666666666664E-2</v>
      </c>
      <c r="G58">
        <v>16.3</v>
      </c>
      <c r="H58">
        <v>723.2</v>
      </c>
      <c r="I58">
        <v>99.6</v>
      </c>
      <c r="J58">
        <v>9.77</v>
      </c>
      <c r="K58">
        <v>96.5</v>
      </c>
      <c r="L58">
        <v>63</v>
      </c>
      <c r="M58">
        <v>1.68</v>
      </c>
      <c r="N58">
        <v>0.51</v>
      </c>
      <c r="O58">
        <v>0.19</v>
      </c>
      <c r="P58">
        <v>0.01</v>
      </c>
      <c r="Q58">
        <v>0.33200000000000002</v>
      </c>
    </row>
    <row r="59" spans="1:18" ht="15.75" customHeight="1" x14ac:dyDescent="0.2">
      <c r="A59" s="28">
        <v>45410</v>
      </c>
      <c r="B59" s="25" t="s">
        <v>117</v>
      </c>
      <c r="C59" s="25">
        <v>37.14358</v>
      </c>
      <c r="D59" s="25">
        <v>-80.562430000000006</v>
      </c>
      <c r="E59" s="29" t="s">
        <v>118</v>
      </c>
      <c r="F59" s="18">
        <v>4.3749999999999997E-2</v>
      </c>
      <c r="G59">
        <v>17</v>
      </c>
      <c r="H59">
        <v>723.2</v>
      </c>
      <c r="I59">
        <v>105.3</v>
      </c>
      <c r="J59">
        <v>10.17</v>
      </c>
      <c r="K59">
        <v>104.4</v>
      </c>
      <c r="L59">
        <v>68</v>
      </c>
      <c r="M59">
        <v>4.28</v>
      </c>
      <c r="N59">
        <v>0.32</v>
      </c>
      <c r="O59">
        <v>0.11</v>
      </c>
      <c r="P59">
        <v>0.01</v>
      </c>
      <c r="Q59">
        <v>0.27500000000000002</v>
      </c>
    </row>
    <row r="60" spans="1:18" ht="15.75" customHeight="1" x14ac:dyDescent="0.15">
      <c r="A60" s="26">
        <v>45413</v>
      </c>
      <c r="B60" s="1" t="s">
        <v>119</v>
      </c>
      <c r="C60">
        <v>37.198430000000002</v>
      </c>
      <c r="D60">
        <v>-80.565070000000006</v>
      </c>
      <c r="E60" t="str">
        <f>_xlfn.CONCAT(C60, " N, ", D60, " W")</f>
        <v>37.19843 N, -80.56507 W</v>
      </c>
      <c r="F60" s="18">
        <v>5.347222222222222E-2</v>
      </c>
      <c r="G60">
        <v>17.2</v>
      </c>
      <c r="H60">
        <v>719.1</v>
      </c>
      <c r="I60">
        <v>100.6</v>
      </c>
      <c r="J60">
        <v>9.67</v>
      </c>
      <c r="K60">
        <v>115.7</v>
      </c>
      <c r="L60">
        <v>75</v>
      </c>
      <c r="M60">
        <v>1.17</v>
      </c>
      <c r="N60">
        <v>0.41</v>
      </c>
      <c r="O60">
        <v>0.15</v>
      </c>
      <c r="P60">
        <v>-0.01</v>
      </c>
      <c r="Q60">
        <v>8.3000000000000004E-2</v>
      </c>
    </row>
    <row r="61" spans="1:18" ht="15.75" customHeight="1" x14ac:dyDescent="0.2">
      <c r="A61" s="26">
        <v>45413</v>
      </c>
      <c r="B61" s="1" t="s">
        <v>120</v>
      </c>
      <c r="C61" s="30">
        <v>37.197600000000001</v>
      </c>
      <c r="D61">
        <v>-80.563770000000005</v>
      </c>
      <c r="E61" t="str">
        <f t="shared" ref="E61:E68" si="6">_xlfn.CONCAT(C61, " N, ", D61, " W")</f>
        <v>37.1976 N, -80.56377 W</v>
      </c>
      <c r="F61" s="18">
        <v>5.6944444444444443E-2</v>
      </c>
      <c r="G61">
        <v>18</v>
      </c>
      <c r="H61">
        <v>719.1</v>
      </c>
      <c r="I61">
        <v>100</v>
      </c>
      <c r="J61" s="31">
        <v>9.86</v>
      </c>
      <c r="K61">
        <v>119</v>
      </c>
      <c r="L61">
        <v>77</v>
      </c>
      <c r="M61">
        <v>1.05</v>
      </c>
      <c r="N61">
        <v>0.26</v>
      </c>
      <c r="O61">
        <v>0.08</v>
      </c>
      <c r="P61">
        <v>-0.05</v>
      </c>
      <c r="Q61">
        <v>7.2999999999999995E-2</v>
      </c>
    </row>
    <row r="62" spans="1:18" ht="15.75" customHeight="1" x14ac:dyDescent="0.15">
      <c r="A62" s="26">
        <v>45413</v>
      </c>
      <c r="B62" s="1" t="s">
        <v>121</v>
      </c>
      <c r="C62">
        <v>37.198009999999996</v>
      </c>
      <c r="D62">
        <v>-80.564580000000007</v>
      </c>
      <c r="E62" t="str">
        <f t="shared" si="6"/>
        <v>37.19801 N, -80.56458 W</v>
      </c>
      <c r="F62" s="18">
        <v>5.9722222222222225E-2</v>
      </c>
      <c r="G62">
        <v>17</v>
      </c>
      <c r="H62">
        <v>719</v>
      </c>
      <c r="I62">
        <v>103.2</v>
      </c>
      <c r="J62">
        <v>9.9700000000000006</v>
      </c>
      <c r="K62">
        <v>114.7</v>
      </c>
      <c r="L62">
        <v>75</v>
      </c>
      <c r="M62">
        <v>1.47</v>
      </c>
      <c r="N62">
        <v>0.3</v>
      </c>
      <c r="O62">
        <v>0.1</v>
      </c>
      <c r="P62">
        <v>0</v>
      </c>
      <c r="Q62">
        <v>0.29099999999999998</v>
      </c>
    </row>
    <row r="63" spans="1:18" ht="15.75" customHeight="1" x14ac:dyDescent="0.15">
      <c r="A63" s="26">
        <v>45422</v>
      </c>
      <c r="B63" s="25" t="s">
        <v>122</v>
      </c>
      <c r="C63">
        <v>37.14396</v>
      </c>
      <c r="D63">
        <v>-80.563630000000003</v>
      </c>
      <c r="E63" t="str">
        <f t="shared" si="6"/>
        <v>37.14396 N, -80.56363 W</v>
      </c>
      <c r="F63" s="18">
        <v>4.4444444444444446E-2</v>
      </c>
      <c r="G63">
        <v>18.100000000000001</v>
      </c>
      <c r="H63">
        <v>710.9</v>
      </c>
      <c r="I63">
        <v>96</v>
      </c>
      <c r="J63">
        <v>9.07</v>
      </c>
      <c r="K63">
        <v>100.1</v>
      </c>
      <c r="L63">
        <v>65</v>
      </c>
      <c r="M63">
        <v>4.03</v>
      </c>
      <c r="N63">
        <v>0.79</v>
      </c>
      <c r="O63">
        <v>0.31</v>
      </c>
      <c r="P63">
        <v>0</v>
      </c>
      <c r="Q63">
        <v>1.0999999999999999E-2</v>
      </c>
    </row>
    <row r="64" spans="1:18" ht="15.75" customHeight="1" x14ac:dyDescent="0.15">
      <c r="A64" s="26">
        <v>45422</v>
      </c>
      <c r="B64" s="25" t="s">
        <v>123</v>
      </c>
      <c r="C64">
        <v>37.143970000000003</v>
      </c>
      <c r="D64">
        <v>-80.562870000000004</v>
      </c>
      <c r="E64" t="str">
        <f t="shared" si="6"/>
        <v>37.14397 N, -80.56287 W</v>
      </c>
      <c r="F64" s="18">
        <v>4.583333333333333E-2</v>
      </c>
      <c r="G64">
        <v>18.100000000000001</v>
      </c>
      <c r="H64">
        <v>719.9</v>
      </c>
      <c r="I64">
        <v>98.2</v>
      </c>
      <c r="J64">
        <v>9.2799999999999994</v>
      </c>
      <c r="K64">
        <v>96.8</v>
      </c>
      <c r="L64">
        <v>63</v>
      </c>
      <c r="M64">
        <v>1.37</v>
      </c>
      <c r="N64">
        <v>0.83</v>
      </c>
      <c r="O64">
        <v>0.33</v>
      </c>
      <c r="P64">
        <v>0.06</v>
      </c>
      <c r="Q64">
        <v>0.09</v>
      </c>
    </row>
    <row r="65" spans="1:17" ht="15.75" customHeight="1" x14ac:dyDescent="0.15">
      <c r="A65" s="26">
        <v>45422</v>
      </c>
      <c r="B65" s="25" t="s">
        <v>124</v>
      </c>
      <c r="C65">
        <v>37.14358</v>
      </c>
      <c r="D65">
        <v>-80.562380000000005</v>
      </c>
      <c r="E65" t="str">
        <f t="shared" si="6"/>
        <v>37.14358 N, -80.56238 W</v>
      </c>
      <c r="F65" s="18">
        <v>4.7222222222222221E-2</v>
      </c>
      <c r="G65">
        <v>18.2</v>
      </c>
      <c r="H65">
        <v>710.9</v>
      </c>
      <c r="I65">
        <v>100.1</v>
      </c>
      <c r="J65">
        <v>9.43</v>
      </c>
      <c r="K65">
        <v>115.9</v>
      </c>
      <c r="L65">
        <v>75</v>
      </c>
      <c r="M65">
        <v>2.3199999999999998</v>
      </c>
      <c r="N65">
        <v>0.62</v>
      </c>
      <c r="O65">
        <v>0.24</v>
      </c>
      <c r="P65">
        <v>0.01</v>
      </c>
      <c r="Q65">
        <v>0.19700000000000001</v>
      </c>
    </row>
    <row r="66" spans="1:17" ht="15.75" customHeight="1" x14ac:dyDescent="0.15">
      <c r="A66" s="26">
        <v>45423</v>
      </c>
      <c r="B66" s="1" t="s">
        <v>125</v>
      </c>
      <c r="C66">
        <v>37.19755</v>
      </c>
      <c r="D66">
        <v>-80.563779999999994</v>
      </c>
      <c r="E66" t="str">
        <f t="shared" si="6"/>
        <v>37.19755 N, -80.56378 W</v>
      </c>
      <c r="F66" s="18">
        <v>0.53333333333333333</v>
      </c>
      <c r="G66">
        <v>17.7</v>
      </c>
      <c r="H66">
        <v>714.8</v>
      </c>
      <c r="I66">
        <v>97.1</v>
      </c>
      <c r="J66">
        <v>9.25</v>
      </c>
      <c r="K66">
        <v>108.9</v>
      </c>
      <c r="L66">
        <v>71</v>
      </c>
      <c r="M66">
        <v>2.82</v>
      </c>
      <c r="N66">
        <v>0.31</v>
      </c>
      <c r="O66">
        <v>0.1</v>
      </c>
      <c r="P66">
        <v>0.05</v>
      </c>
      <c r="Q66">
        <v>0.122</v>
      </c>
    </row>
    <row r="67" spans="1:17" ht="15.75" customHeight="1" x14ac:dyDescent="0.15">
      <c r="A67" s="26">
        <v>45423</v>
      </c>
      <c r="B67" s="1" t="s">
        <v>126</v>
      </c>
      <c r="C67">
        <v>37.198070000000001</v>
      </c>
      <c r="D67">
        <v>-80.564570000000003</v>
      </c>
      <c r="E67" t="str">
        <f t="shared" si="6"/>
        <v>37.19807 N, -80.56457 W</v>
      </c>
      <c r="F67" s="18">
        <v>0.53611111111111109</v>
      </c>
      <c r="G67">
        <v>17.3</v>
      </c>
      <c r="H67">
        <v>714.8</v>
      </c>
      <c r="I67">
        <v>96</v>
      </c>
      <c r="J67">
        <v>9.23</v>
      </c>
      <c r="K67">
        <v>110.2</v>
      </c>
      <c r="L67">
        <v>72</v>
      </c>
      <c r="M67">
        <v>1.59</v>
      </c>
      <c r="N67">
        <v>0.43</v>
      </c>
      <c r="O67">
        <v>0.15</v>
      </c>
      <c r="P67">
        <v>0</v>
      </c>
      <c r="Q67">
        <v>0.18099999999999999</v>
      </c>
    </row>
    <row r="68" spans="1:17" ht="15.75" customHeight="1" x14ac:dyDescent="0.15">
      <c r="A68" s="26">
        <v>45423</v>
      </c>
      <c r="B68" s="1" t="s">
        <v>127</v>
      </c>
      <c r="C68">
        <v>37.198329999999999</v>
      </c>
      <c r="D68">
        <v>-80.565039999999996</v>
      </c>
      <c r="E68" t="str">
        <f t="shared" si="6"/>
        <v>37.19833 N, -80.56504 W</v>
      </c>
      <c r="F68" s="18">
        <v>0.53749999999999998</v>
      </c>
      <c r="G68">
        <v>17.3</v>
      </c>
      <c r="H68">
        <v>714.8</v>
      </c>
      <c r="I68">
        <v>95.5</v>
      </c>
      <c r="J68">
        <v>9.17</v>
      </c>
      <c r="K68">
        <v>111.5</v>
      </c>
      <c r="L68">
        <v>73</v>
      </c>
      <c r="M68">
        <v>1.35</v>
      </c>
      <c r="N68">
        <v>0.46</v>
      </c>
      <c r="O68">
        <v>0.17</v>
      </c>
      <c r="P68">
        <v>0.04</v>
      </c>
      <c r="Q68">
        <v>0.16200000000000001</v>
      </c>
    </row>
  </sheetData>
  <hyperlinks>
    <hyperlink ref="S1" r:id="rId1" location="parameterCode=00065&amp;period=P7D&amp;showMedian=true" xr:uid="{00000000-0004-0000-0100-000000000000}"/>
  </hyperlinks>
  <pageMargins left="0" right="0" top="0" bottom="0" header="0" footer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65"/>
  <sheetViews>
    <sheetView topLeftCell="E43" workbookViewId="0">
      <selection activeCell="F50" sqref="F50"/>
    </sheetView>
  </sheetViews>
  <sheetFormatPr baseColWidth="10" defaultColWidth="12.5" defaultRowHeight="15.75" customHeight="1" x14ac:dyDescent="0.15"/>
  <cols>
    <col min="2" max="2" width="15" customWidth="1"/>
    <col min="3" max="4" width="19.5" customWidth="1"/>
    <col min="5" max="5" width="22.33203125" bestFit="1" customWidth="1"/>
    <col min="18" max="18" width="17.6640625" customWidth="1"/>
  </cols>
  <sheetData>
    <row r="1" spans="1:1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219</v>
      </c>
      <c r="O1" s="1" t="s">
        <v>220</v>
      </c>
      <c r="P1" s="1" t="s">
        <v>221</v>
      </c>
      <c r="Q1" s="1" t="s">
        <v>167</v>
      </c>
      <c r="S1" s="1"/>
    </row>
    <row r="2" spans="1:19" ht="15.75" customHeight="1" x14ac:dyDescent="0.15">
      <c r="A2" s="2">
        <v>45238</v>
      </c>
      <c r="B2" s="1" t="s">
        <v>11</v>
      </c>
      <c r="C2" s="10" t="str">
        <f t="shared" ref="C2:C35" si="0">LEFT(E2, 8)</f>
        <v>37.19742</v>
      </c>
      <c r="D2" s="11">
        <f t="shared" ref="D2:D35" si="1">MID(E2, 13, 8)*-1</f>
        <v>-80.563929999999999</v>
      </c>
      <c r="E2" s="1" t="s">
        <v>12</v>
      </c>
      <c r="F2" s="13">
        <v>0.22708333333333333</v>
      </c>
      <c r="G2" s="1">
        <v>16.5</v>
      </c>
      <c r="H2" s="1">
        <v>717.9</v>
      </c>
      <c r="I2" s="1">
        <v>107.3</v>
      </c>
      <c r="J2" s="1">
        <v>10.47</v>
      </c>
      <c r="K2" s="1">
        <v>197.7</v>
      </c>
      <c r="L2" s="1">
        <v>129</v>
      </c>
      <c r="M2" s="1">
        <v>0.9</v>
      </c>
      <c r="N2" s="1"/>
      <c r="O2" s="1">
        <v>0.3</v>
      </c>
      <c r="P2" s="1">
        <v>0.03</v>
      </c>
      <c r="Q2" s="1">
        <v>0.58599999999999997</v>
      </c>
    </row>
    <row r="3" spans="1:19" ht="15.75" customHeight="1" x14ac:dyDescent="0.15">
      <c r="A3" s="2">
        <v>45238</v>
      </c>
      <c r="B3" s="1" t="s">
        <v>13</v>
      </c>
      <c r="C3" s="10" t="str">
        <f t="shared" si="0"/>
        <v>37.19883</v>
      </c>
      <c r="D3" s="11">
        <f t="shared" si="1"/>
        <v>-80.56541</v>
      </c>
      <c r="E3" s="5" t="s">
        <v>222</v>
      </c>
      <c r="F3" s="13">
        <v>0.23402777777777778</v>
      </c>
      <c r="G3" s="1">
        <v>16</v>
      </c>
      <c r="H3" s="1">
        <v>718</v>
      </c>
      <c r="I3" s="1">
        <v>105.1</v>
      </c>
      <c r="J3" s="1">
        <v>10.36</v>
      </c>
      <c r="K3" s="1">
        <v>157.1</v>
      </c>
      <c r="L3" s="1">
        <v>102</v>
      </c>
      <c r="M3" s="1">
        <v>4.28</v>
      </c>
      <c r="N3" s="1"/>
      <c r="O3" s="1">
        <v>1.57</v>
      </c>
      <c r="P3" s="1">
        <v>0.32</v>
      </c>
      <c r="Q3" s="1">
        <v>0.76800000000000002</v>
      </c>
    </row>
    <row r="4" spans="1:19" ht="15.75" customHeight="1" x14ac:dyDescent="0.15">
      <c r="A4" s="2">
        <v>45238</v>
      </c>
      <c r="B4" s="1" t="s">
        <v>15</v>
      </c>
      <c r="C4" s="10" t="str">
        <f t="shared" si="0"/>
        <v>37.19832</v>
      </c>
      <c r="D4" s="11">
        <f t="shared" si="1"/>
        <v>-80.56523</v>
      </c>
      <c r="E4" s="1" t="s">
        <v>16</v>
      </c>
      <c r="F4" s="13">
        <v>0.23819444444444443</v>
      </c>
      <c r="G4" s="1">
        <v>16.100000000000001</v>
      </c>
      <c r="H4" s="1">
        <v>718</v>
      </c>
      <c r="I4" s="1">
        <v>105</v>
      </c>
      <c r="J4" s="1">
        <v>10.33</v>
      </c>
      <c r="K4" s="1">
        <v>155.1</v>
      </c>
      <c r="L4" s="1">
        <v>101</v>
      </c>
      <c r="M4" s="1">
        <v>0.61</v>
      </c>
      <c r="N4" s="1"/>
      <c r="O4" s="1">
        <v>0.41</v>
      </c>
      <c r="P4" s="1">
        <v>0.04</v>
      </c>
      <c r="Q4" s="1">
        <v>0.80800000000000005</v>
      </c>
    </row>
    <row r="5" spans="1:19" ht="15.75" customHeight="1" x14ac:dyDescent="0.15">
      <c r="A5" s="2">
        <v>45241</v>
      </c>
      <c r="B5" s="1" t="s">
        <v>17</v>
      </c>
      <c r="C5" s="10" t="str">
        <f t="shared" si="0"/>
        <v>37.19739</v>
      </c>
      <c r="D5" s="11">
        <f t="shared" si="1"/>
        <v>-80.563950000000006</v>
      </c>
      <c r="E5" s="1" t="s">
        <v>18</v>
      </c>
      <c r="F5" s="13">
        <v>0.53263888888888888</v>
      </c>
      <c r="G5" s="1">
        <v>13.8</v>
      </c>
      <c r="H5" s="1">
        <v>726.6</v>
      </c>
      <c r="I5" s="1">
        <v>95.8</v>
      </c>
      <c r="J5" s="1">
        <v>9.91</v>
      </c>
      <c r="K5" s="1">
        <v>179.2</v>
      </c>
      <c r="L5" s="1">
        <v>117</v>
      </c>
      <c r="M5" s="1">
        <v>0.62</v>
      </c>
      <c r="N5" s="1"/>
      <c r="O5" s="1">
        <v>0.31</v>
      </c>
      <c r="P5" s="1">
        <v>0.03</v>
      </c>
      <c r="Q5" s="1">
        <v>0.76</v>
      </c>
    </row>
    <row r="6" spans="1:19" ht="15.75" customHeight="1" x14ac:dyDescent="0.15">
      <c r="A6" s="2">
        <v>45241</v>
      </c>
      <c r="B6" s="1" t="s">
        <v>19</v>
      </c>
      <c r="C6" s="10" t="str">
        <f t="shared" si="0"/>
        <v>37.19806</v>
      </c>
      <c r="D6" s="11">
        <f t="shared" si="1"/>
        <v>-80.564549999999997</v>
      </c>
      <c r="E6" s="1" t="s">
        <v>20</v>
      </c>
      <c r="F6" s="13">
        <v>0.53819444444444442</v>
      </c>
      <c r="G6" s="1">
        <v>14.4</v>
      </c>
      <c r="H6" s="1">
        <v>726.6</v>
      </c>
      <c r="I6" s="1">
        <v>94.1</v>
      </c>
      <c r="J6" s="1">
        <v>9.61</v>
      </c>
      <c r="K6" s="1">
        <v>159.6</v>
      </c>
      <c r="L6" s="1">
        <v>104</v>
      </c>
      <c r="M6" s="1">
        <v>0.53</v>
      </c>
      <c r="N6" s="1"/>
      <c r="O6" s="1">
        <v>0.33</v>
      </c>
      <c r="P6" s="1">
        <v>0.04</v>
      </c>
      <c r="Q6" s="1">
        <v>1.1870000000000001</v>
      </c>
    </row>
    <row r="7" spans="1:19" ht="15.75" customHeight="1" x14ac:dyDescent="0.15">
      <c r="A7" s="2">
        <v>45241</v>
      </c>
      <c r="B7" s="1" t="s">
        <v>21</v>
      </c>
      <c r="C7" s="10" t="str">
        <f t="shared" si="0"/>
        <v>37.19818</v>
      </c>
      <c r="D7" s="11">
        <f t="shared" si="1"/>
        <v>-80.564949999999996</v>
      </c>
      <c r="E7" s="1" t="s">
        <v>22</v>
      </c>
      <c r="F7" s="13">
        <v>4.2361111111111113E-2</v>
      </c>
      <c r="G7" s="1">
        <v>14.5</v>
      </c>
      <c r="H7" s="1">
        <v>726.5</v>
      </c>
      <c r="I7" s="1">
        <v>95.6</v>
      </c>
      <c r="J7" s="1">
        <v>9.73</v>
      </c>
      <c r="K7" s="1">
        <v>161.19999999999999</v>
      </c>
      <c r="L7" s="1">
        <v>105</v>
      </c>
      <c r="M7" s="1">
        <v>0.5</v>
      </c>
      <c r="N7" s="1"/>
      <c r="O7" s="1">
        <v>0.36</v>
      </c>
      <c r="P7" s="1">
        <v>0.03</v>
      </c>
      <c r="Q7" s="1">
        <v>1.071</v>
      </c>
    </row>
    <row r="8" spans="1:19" ht="15.75" customHeight="1" x14ac:dyDescent="0.15">
      <c r="A8" s="2">
        <v>45263</v>
      </c>
      <c r="B8" s="1" t="s">
        <v>23</v>
      </c>
      <c r="C8" s="10" t="str">
        <f t="shared" si="0"/>
        <v>37.19794</v>
      </c>
      <c r="D8" s="11">
        <f t="shared" si="1"/>
        <v>-80.564210000000003</v>
      </c>
      <c r="E8" s="5" t="s">
        <v>26</v>
      </c>
      <c r="F8" s="13">
        <v>0.51597222222222228</v>
      </c>
      <c r="G8" s="1">
        <v>11.6</v>
      </c>
      <c r="H8" s="1">
        <v>713.1</v>
      </c>
      <c r="I8" s="1">
        <v>92.2</v>
      </c>
      <c r="J8" s="1">
        <v>10</v>
      </c>
      <c r="K8" s="1">
        <v>207.8</v>
      </c>
      <c r="L8" s="1">
        <v>135</v>
      </c>
      <c r="M8" s="1">
        <v>1.89</v>
      </c>
      <c r="N8" s="1"/>
      <c r="O8" s="1">
        <v>0.28000000000000003</v>
      </c>
      <c r="P8" s="1">
        <v>0.02</v>
      </c>
      <c r="Q8" s="1">
        <v>0.52900000000000003</v>
      </c>
    </row>
    <row r="9" spans="1:19" ht="15.75" customHeight="1" x14ac:dyDescent="0.15">
      <c r="A9" s="2">
        <v>45263</v>
      </c>
      <c r="B9" s="1" t="s">
        <v>25</v>
      </c>
      <c r="C9" s="10" t="str">
        <f t="shared" si="0"/>
        <v>37.19794</v>
      </c>
      <c r="D9" s="11">
        <f t="shared" si="1"/>
        <v>-80.564210000000003</v>
      </c>
      <c r="E9" s="1" t="s">
        <v>26</v>
      </c>
      <c r="F9" s="13">
        <v>0.52013888888888893</v>
      </c>
      <c r="G9" s="1">
        <v>11.3</v>
      </c>
      <c r="H9" s="1">
        <v>713.2</v>
      </c>
      <c r="I9" s="1">
        <v>94.5</v>
      </c>
      <c r="J9" s="1">
        <v>10.34</v>
      </c>
      <c r="K9" s="1">
        <v>160.69999999999999</v>
      </c>
      <c r="L9" s="1">
        <v>104</v>
      </c>
      <c r="M9" s="1">
        <v>0.74</v>
      </c>
      <c r="N9" s="1"/>
      <c r="O9" s="1">
        <v>0.32</v>
      </c>
      <c r="P9" s="1">
        <v>0.03</v>
      </c>
      <c r="Q9" s="1">
        <v>0.47299999999999998</v>
      </c>
    </row>
    <row r="10" spans="1:19" ht="15.75" customHeight="1" x14ac:dyDescent="0.15">
      <c r="A10" s="2">
        <v>45263</v>
      </c>
      <c r="B10" s="1" t="s">
        <v>27</v>
      </c>
      <c r="C10" s="10" t="str">
        <f t="shared" si="0"/>
        <v>37.19862</v>
      </c>
      <c r="D10" s="11">
        <f t="shared" si="1"/>
        <v>-80.564840000000004</v>
      </c>
      <c r="E10" s="1" t="s">
        <v>28</v>
      </c>
      <c r="F10" s="13">
        <v>0.53055555555555556</v>
      </c>
      <c r="G10" s="1">
        <v>10.9</v>
      </c>
      <c r="H10" s="1">
        <v>713.1</v>
      </c>
      <c r="I10" s="1">
        <v>92.1</v>
      </c>
      <c r="J10" s="1">
        <v>10.26</v>
      </c>
      <c r="K10" s="1">
        <v>275.89999999999998</v>
      </c>
      <c r="L10" s="1">
        <v>180</v>
      </c>
      <c r="M10" s="1">
        <v>1.01</v>
      </c>
      <c r="N10" s="1"/>
      <c r="O10" s="1">
        <v>0.38</v>
      </c>
      <c r="P10" s="1">
        <v>0.02</v>
      </c>
      <c r="Q10" s="1">
        <v>0.51700000000000002</v>
      </c>
    </row>
    <row r="11" spans="1:19" ht="15.75" customHeight="1" x14ac:dyDescent="0.15">
      <c r="A11" s="2">
        <v>45265</v>
      </c>
      <c r="B11" s="1" t="s">
        <v>29</v>
      </c>
      <c r="C11" s="10" t="str">
        <f t="shared" si="0"/>
        <v>37.19731</v>
      </c>
      <c r="D11" s="11">
        <f t="shared" si="1"/>
        <v>-80.563890000000001</v>
      </c>
      <c r="E11" s="1" t="s">
        <v>30</v>
      </c>
      <c r="F11" s="13">
        <v>0.42638888888888887</v>
      </c>
      <c r="G11" s="1">
        <v>8.9</v>
      </c>
      <c r="H11" s="1">
        <v>720.5</v>
      </c>
      <c r="I11" s="1">
        <v>83.6</v>
      </c>
      <c r="J11" s="1">
        <v>9.68</v>
      </c>
      <c r="K11" s="1">
        <v>193</v>
      </c>
      <c r="L11" s="1">
        <v>125</v>
      </c>
      <c r="M11" s="1">
        <v>5.05</v>
      </c>
      <c r="N11" s="1"/>
      <c r="O11" s="1">
        <v>0.23</v>
      </c>
      <c r="P11" s="1">
        <v>0.01</v>
      </c>
      <c r="Q11" s="1">
        <v>0.501</v>
      </c>
    </row>
    <row r="12" spans="1:19" ht="15.75" customHeight="1" x14ac:dyDescent="0.15">
      <c r="A12" s="2">
        <v>45265</v>
      </c>
      <c r="B12" s="1" t="s">
        <v>31</v>
      </c>
      <c r="C12" s="10" t="str">
        <f t="shared" si="0"/>
        <v>37.19785</v>
      </c>
      <c r="D12" s="11">
        <f t="shared" si="1"/>
        <v>-80.564769999999996</v>
      </c>
      <c r="E12" s="1" t="s">
        <v>32</v>
      </c>
      <c r="F12" s="13">
        <v>0.43194444444444446</v>
      </c>
      <c r="G12" s="1">
        <v>9.3000000000000007</v>
      </c>
      <c r="H12" s="1">
        <v>720.6</v>
      </c>
      <c r="I12" s="1">
        <v>89.2</v>
      </c>
      <c r="J12" s="1">
        <v>10.24</v>
      </c>
      <c r="K12" s="1">
        <v>158.69999999999999</v>
      </c>
      <c r="L12" s="1">
        <v>103</v>
      </c>
      <c r="M12" s="1">
        <v>0.94</v>
      </c>
      <c r="N12" s="1"/>
      <c r="O12" s="1">
        <v>0.34</v>
      </c>
      <c r="P12" s="1">
        <v>0.03</v>
      </c>
      <c r="Q12" s="1">
        <v>1.121</v>
      </c>
    </row>
    <row r="13" spans="1:19" ht="15.75" customHeight="1" x14ac:dyDescent="0.15">
      <c r="A13" s="2">
        <v>45265</v>
      </c>
      <c r="B13" s="1" t="s">
        <v>33</v>
      </c>
      <c r="C13" s="10" t="str">
        <f t="shared" si="0"/>
        <v>37.19842</v>
      </c>
      <c r="D13" s="11">
        <f t="shared" si="1"/>
        <v>-80.565100000000001</v>
      </c>
      <c r="E13" s="1" t="s">
        <v>34</v>
      </c>
      <c r="F13" s="13">
        <v>0.43611111111111112</v>
      </c>
      <c r="G13" s="1">
        <v>9.4</v>
      </c>
      <c r="H13" s="1">
        <v>720.4</v>
      </c>
      <c r="I13" s="1">
        <v>88</v>
      </c>
      <c r="J13" s="1">
        <v>10.08</v>
      </c>
      <c r="K13" s="1">
        <v>163.4</v>
      </c>
      <c r="L13" s="1">
        <v>106</v>
      </c>
      <c r="M13" s="1">
        <v>1.17</v>
      </c>
      <c r="N13" s="1"/>
      <c r="O13" s="1">
        <v>0.35</v>
      </c>
      <c r="P13" s="1">
        <v>0.05</v>
      </c>
      <c r="Q13" s="1">
        <v>0.81</v>
      </c>
    </row>
    <row r="14" spans="1:19" ht="15.75" customHeight="1" x14ac:dyDescent="0.15">
      <c r="A14" s="2">
        <v>45312</v>
      </c>
      <c r="B14" s="1" t="s">
        <v>35</v>
      </c>
      <c r="C14" s="10" t="str">
        <f t="shared" si="0"/>
        <v>37.19728</v>
      </c>
      <c r="D14" s="11">
        <f t="shared" si="1"/>
        <v>-80.563900000000004</v>
      </c>
      <c r="E14" s="1" t="s">
        <v>36</v>
      </c>
      <c r="F14" s="13">
        <v>0.11319444444444444</v>
      </c>
      <c r="G14" s="1">
        <v>2</v>
      </c>
      <c r="H14" s="1">
        <v>730.8</v>
      </c>
      <c r="I14" s="1">
        <v>87.5</v>
      </c>
      <c r="J14" s="1">
        <v>12.09</v>
      </c>
      <c r="K14" s="1">
        <v>138.5</v>
      </c>
      <c r="L14" s="1">
        <v>90</v>
      </c>
      <c r="M14" s="1">
        <v>90.6</v>
      </c>
      <c r="N14" s="1"/>
      <c r="O14" s="1">
        <v>1</v>
      </c>
      <c r="P14" s="1">
        <v>0.08</v>
      </c>
      <c r="Q14" s="1">
        <v>0.83499999999999996</v>
      </c>
    </row>
    <row r="15" spans="1:19" ht="15.75" customHeight="1" x14ac:dyDescent="0.15">
      <c r="A15" s="2">
        <v>45312</v>
      </c>
      <c r="B15" s="1" t="s">
        <v>37</v>
      </c>
      <c r="C15" s="10" t="str">
        <f t="shared" si="0"/>
        <v>37.19783</v>
      </c>
      <c r="D15" s="11">
        <f t="shared" si="1"/>
        <v>-80.564899999999994</v>
      </c>
      <c r="E15" s="1" t="s">
        <v>38</v>
      </c>
      <c r="F15" s="13">
        <v>0.11874999999999999</v>
      </c>
      <c r="G15" s="1">
        <v>2</v>
      </c>
      <c r="H15" s="1">
        <v>730.9</v>
      </c>
      <c r="I15" s="1">
        <v>90.9</v>
      </c>
      <c r="J15" s="1">
        <v>12.56</v>
      </c>
      <c r="K15" s="1">
        <v>116.5</v>
      </c>
      <c r="L15" s="1">
        <v>76</v>
      </c>
      <c r="M15" s="1">
        <v>18.3</v>
      </c>
      <c r="N15" s="1"/>
      <c r="O15" s="1">
        <v>0.83</v>
      </c>
      <c r="P15" s="1">
        <v>0.09</v>
      </c>
      <c r="Q15" s="1">
        <v>0.82199999999999995</v>
      </c>
    </row>
    <row r="16" spans="1:19" ht="15.75" customHeight="1" x14ac:dyDescent="0.15">
      <c r="A16" s="2">
        <v>45312</v>
      </c>
      <c r="B16" s="1" t="s">
        <v>39</v>
      </c>
      <c r="C16" s="10" t="str">
        <f t="shared" si="0"/>
        <v>37.19842</v>
      </c>
      <c r="D16" s="11">
        <f t="shared" si="1"/>
        <v>-80.564999999999998</v>
      </c>
      <c r="E16" s="1" t="s">
        <v>40</v>
      </c>
      <c r="F16" s="13">
        <v>0.12222222222222222</v>
      </c>
      <c r="G16" s="1">
        <v>2.1</v>
      </c>
      <c r="H16" s="1">
        <v>730.9</v>
      </c>
      <c r="I16" s="1">
        <v>91.3</v>
      </c>
      <c r="J16" s="1">
        <v>12.59</v>
      </c>
      <c r="K16" s="1">
        <v>118.1</v>
      </c>
      <c r="L16" s="1">
        <v>77</v>
      </c>
      <c r="M16" s="1">
        <v>18.84</v>
      </c>
      <c r="N16" s="1"/>
      <c r="O16" s="1">
        <v>0.76</v>
      </c>
      <c r="P16" s="1">
        <v>0.09</v>
      </c>
      <c r="Q16" s="1">
        <v>0.85499999999999998</v>
      </c>
    </row>
    <row r="17" spans="1:17" ht="15.75" customHeight="1" x14ac:dyDescent="0.15">
      <c r="A17" s="2">
        <v>45321</v>
      </c>
      <c r="B17" s="1" t="s">
        <v>41</v>
      </c>
      <c r="C17" s="10" t="str">
        <f t="shared" si="0"/>
        <v>37.14414</v>
      </c>
      <c r="D17" s="11">
        <f t="shared" si="1"/>
        <v>-80.563419999999994</v>
      </c>
      <c r="E17" s="1" t="s">
        <v>42</v>
      </c>
      <c r="F17" s="13">
        <v>0.54027777777777775</v>
      </c>
      <c r="G17" s="1">
        <v>3.9</v>
      </c>
      <c r="H17" s="1">
        <v>718.6</v>
      </c>
      <c r="I17" s="1">
        <v>92</v>
      </c>
      <c r="J17" s="1">
        <v>12.09</v>
      </c>
      <c r="K17" s="1">
        <v>126</v>
      </c>
      <c r="L17" s="1">
        <v>82</v>
      </c>
      <c r="M17" s="1">
        <v>10.99</v>
      </c>
      <c r="N17" s="1"/>
      <c r="O17" s="1">
        <v>0.12</v>
      </c>
      <c r="P17" s="1">
        <v>7.0000000000000007E-2</v>
      </c>
      <c r="Q17" s="1">
        <v>0.72499999999999998</v>
      </c>
    </row>
    <row r="18" spans="1:17" ht="15.75" customHeight="1" x14ac:dyDescent="0.15">
      <c r="A18" s="2">
        <v>45321</v>
      </c>
      <c r="B18" s="1" t="s">
        <v>43</v>
      </c>
      <c r="C18" s="10" t="str">
        <f t="shared" si="0"/>
        <v>37.14384</v>
      </c>
      <c r="D18" s="11">
        <f t="shared" si="1"/>
        <v>-80.562830000000005</v>
      </c>
      <c r="E18" s="1" t="s">
        <v>44</v>
      </c>
      <c r="F18" s="13">
        <v>4.4444444444444446E-2</v>
      </c>
      <c r="G18" s="1">
        <v>3.7</v>
      </c>
      <c r="H18" s="1">
        <v>718.4</v>
      </c>
      <c r="I18" s="1">
        <v>91.7</v>
      </c>
      <c r="J18" s="1">
        <v>12.1</v>
      </c>
      <c r="K18" s="1">
        <v>110.3</v>
      </c>
      <c r="L18" s="1">
        <v>72</v>
      </c>
      <c r="M18" s="1">
        <v>9.4700000000000006</v>
      </c>
      <c r="N18" s="1"/>
      <c r="O18" s="1">
        <v>0.13</v>
      </c>
      <c r="P18" s="1">
        <v>7.0000000000000007E-2</v>
      </c>
      <c r="Q18" s="1">
        <v>0.88300000000000001</v>
      </c>
    </row>
    <row r="19" spans="1:17" ht="15.75" customHeight="1" x14ac:dyDescent="0.15">
      <c r="A19" s="2">
        <v>45321</v>
      </c>
      <c r="B19" s="1" t="s">
        <v>45</v>
      </c>
      <c r="C19" s="10" t="str">
        <f t="shared" si="0"/>
        <v>37.14347</v>
      </c>
      <c r="D19" s="11">
        <f t="shared" si="1"/>
        <v>-80.562380000000005</v>
      </c>
      <c r="E19" s="1" t="s">
        <v>46</v>
      </c>
      <c r="F19" s="13">
        <v>4.791666666666667E-2</v>
      </c>
      <c r="G19" s="1">
        <v>4.9000000000000004</v>
      </c>
      <c r="H19" s="1">
        <v>718.5</v>
      </c>
      <c r="I19" s="1">
        <v>92.1</v>
      </c>
      <c r="J19" s="1">
        <v>11.79</v>
      </c>
      <c r="K19" s="1">
        <v>132.9</v>
      </c>
      <c r="L19" s="1">
        <v>86</v>
      </c>
      <c r="M19" s="1">
        <v>27.45</v>
      </c>
      <c r="N19" s="1"/>
      <c r="O19" s="1">
        <v>0.33</v>
      </c>
      <c r="P19" s="1">
        <v>0.11</v>
      </c>
      <c r="Q19" s="1">
        <v>0.59799999999999998</v>
      </c>
    </row>
    <row r="20" spans="1:17" ht="15.75" customHeight="1" x14ac:dyDescent="0.15">
      <c r="A20" s="2">
        <v>45321</v>
      </c>
      <c r="B20" s="1" t="s">
        <v>47</v>
      </c>
      <c r="C20" s="10" t="str">
        <f t="shared" si="0"/>
        <v>37.19732</v>
      </c>
      <c r="D20" s="11">
        <f t="shared" si="1"/>
        <v>-80.563940000000002</v>
      </c>
      <c r="E20" s="1" t="s">
        <v>48</v>
      </c>
      <c r="F20" s="13">
        <v>0.10138888888888889</v>
      </c>
      <c r="G20" s="1">
        <v>4.0999999999999996</v>
      </c>
      <c r="H20" s="1">
        <v>718.7</v>
      </c>
      <c r="I20" s="1">
        <v>92.1</v>
      </c>
      <c r="J20" s="1">
        <v>12.02</v>
      </c>
      <c r="K20" s="1">
        <v>123.6</v>
      </c>
      <c r="L20" s="1">
        <v>80</v>
      </c>
      <c r="M20" s="1">
        <v>12.69</v>
      </c>
      <c r="N20" s="1"/>
      <c r="O20" s="1">
        <v>0.17</v>
      </c>
      <c r="P20" s="1">
        <v>0.12</v>
      </c>
      <c r="Q20" s="1">
        <v>0.56100000000000005</v>
      </c>
    </row>
    <row r="21" spans="1:17" ht="15.75" customHeight="1" x14ac:dyDescent="0.15">
      <c r="A21" s="2">
        <v>45321</v>
      </c>
      <c r="B21" s="1" t="s">
        <v>49</v>
      </c>
      <c r="C21" s="10" t="str">
        <f t="shared" si="0"/>
        <v>37.19796</v>
      </c>
      <c r="D21" s="11">
        <f t="shared" si="1"/>
        <v>-80.564750000000004</v>
      </c>
      <c r="E21" s="1" t="s">
        <v>50</v>
      </c>
      <c r="F21" s="13">
        <v>0.10555555555555556</v>
      </c>
      <c r="G21" s="1">
        <v>3.9</v>
      </c>
      <c r="H21" s="1">
        <v>718.7</v>
      </c>
      <c r="I21" s="1">
        <v>92.7</v>
      </c>
      <c r="J21" s="1">
        <v>12.16</v>
      </c>
      <c r="K21" s="1">
        <v>123.3</v>
      </c>
      <c r="L21" s="1">
        <v>80</v>
      </c>
      <c r="M21" s="1">
        <v>9.7799999999999994</v>
      </c>
      <c r="N21" s="1"/>
      <c r="O21" s="1">
        <v>0.18</v>
      </c>
      <c r="P21" s="1">
        <v>0.08</v>
      </c>
      <c r="Q21" s="1">
        <v>1.194</v>
      </c>
    </row>
    <row r="22" spans="1:17" ht="15.75" customHeight="1" x14ac:dyDescent="0.15">
      <c r="A22" s="2">
        <v>45321</v>
      </c>
      <c r="B22" s="1" t="s">
        <v>51</v>
      </c>
      <c r="C22" s="10" t="str">
        <f t="shared" si="0"/>
        <v>37.19850</v>
      </c>
      <c r="D22" s="11">
        <f t="shared" si="1"/>
        <v>-80.565039999999996</v>
      </c>
      <c r="E22" s="1" t="s">
        <v>52</v>
      </c>
      <c r="F22" s="13">
        <v>0.11388888888888889</v>
      </c>
      <c r="G22" s="1">
        <v>4.0999999999999996</v>
      </c>
      <c r="H22" s="1">
        <v>718.7</v>
      </c>
      <c r="I22" s="1">
        <v>92.8</v>
      </c>
      <c r="J22" s="1">
        <v>12.12</v>
      </c>
      <c r="K22" s="1">
        <v>133.30000000000001</v>
      </c>
      <c r="L22" s="1">
        <v>87</v>
      </c>
      <c r="M22" s="1">
        <v>10.41</v>
      </c>
      <c r="N22" s="1"/>
      <c r="O22" s="1">
        <v>0.14000000000000001</v>
      </c>
      <c r="P22" s="1">
        <v>0.12</v>
      </c>
      <c r="Q22" s="1">
        <v>1.1200000000000001</v>
      </c>
    </row>
    <row r="23" spans="1:17" ht="15.75" customHeight="1" x14ac:dyDescent="0.15">
      <c r="A23" s="2">
        <v>45326</v>
      </c>
      <c r="B23" s="1" t="s">
        <v>53</v>
      </c>
      <c r="C23" s="10" t="str">
        <f t="shared" si="0"/>
        <v>37.14409</v>
      </c>
      <c r="D23" s="11">
        <f t="shared" si="1"/>
        <v>-80.563400000000001</v>
      </c>
      <c r="E23" s="1" t="s">
        <v>54</v>
      </c>
      <c r="F23" s="13">
        <v>4.4444444444444446E-2</v>
      </c>
      <c r="G23" s="1">
        <v>6.1</v>
      </c>
      <c r="H23" s="1">
        <v>715.7</v>
      </c>
      <c r="I23" s="1">
        <v>93.3</v>
      </c>
      <c r="J23" s="1">
        <v>11.6</v>
      </c>
      <c r="K23" s="1">
        <v>126.6</v>
      </c>
      <c r="L23" s="1">
        <v>82</v>
      </c>
      <c r="M23" s="1">
        <v>13.58</v>
      </c>
      <c r="N23" s="1"/>
      <c r="O23" s="1">
        <v>0.13</v>
      </c>
      <c r="P23" s="1">
        <v>0.03</v>
      </c>
      <c r="Q23" s="1">
        <v>0.65400000000000003</v>
      </c>
    </row>
    <row r="24" spans="1:17" ht="15.75" customHeight="1" x14ac:dyDescent="0.15">
      <c r="A24" s="2">
        <v>45326</v>
      </c>
      <c r="B24" s="1" t="s">
        <v>55</v>
      </c>
      <c r="C24" s="10" t="str">
        <f t="shared" si="0"/>
        <v>37.14392</v>
      </c>
      <c r="D24" s="11">
        <f t="shared" si="1"/>
        <v>-80.562860000000001</v>
      </c>
      <c r="E24" s="1" t="s">
        <v>56</v>
      </c>
      <c r="F24" s="13">
        <v>4.7222222222222221E-2</v>
      </c>
      <c r="G24" s="1">
        <v>5.9</v>
      </c>
      <c r="H24" s="1">
        <v>715.6</v>
      </c>
      <c r="I24" s="1">
        <v>94.8</v>
      </c>
      <c r="J24" s="1">
        <v>11.83</v>
      </c>
      <c r="K24" s="1">
        <v>114.4</v>
      </c>
      <c r="L24" s="1">
        <v>74</v>
      </c>
      <c r="M24" s="1">
        <v>9.5299999999999994</v>
      </c>
      <c r="N24" s="1"/>
      <c r="O24" s="1">
        <v>0.11</v>
      </c>
      <c r="P24" s="1">
        <v>7.0000000000000007E-2</v>
      </c>
      <c r="Q24" s="1">
        <v>0.90800000000000003</v>
      </c>
    </row>
    <row r="25" spans="1:17" ht="15.75" customHeight="1" x14ac:dyDescent="0.15">
      <c r="A25" s="2">
        <v>45326</v>
      </c>
      <c r="B25" s="1" t="s">
        <v>57</v>
      </c>
      <c r="C25" s="10" t="str">
        <f t="shared" si="0"/>
        <v>37.14350</v>
      </c>
      <c r="D25" s="11">
        <f t="shared" si="1"/>
        <v>-80.562510000000003</v>
      </c>
      <c r="E25" s="1" t="s">
        <v>58</v>
      </c>
      <c r="F25" s="13">
        <v>4.9305555555555554E-2</v>
      </c>
      <c r="G25" s="1">
        <v>5.5</v>
      </c>
      <c r="H25" s="1">
        <v>715.6</v>
      </c>
      <c r="I25" s="1">
        <v>93</v>
      </c>
      <c r="J25" s="1">
        <v>11.7</v>
      </c>
      <c r="K25" s="1">
        <v>157</v>
      </c>
      <c r="L25" s="1">
        <v>102</v>
      </c>
      <c r="M25" s="1">
        <v>8.56</v>
      </c>
      <c r="N25" s="1"/>
      <c r="O25" s="1">
        <v>0.1</v>
      </c>
      <c r="P25" s="1">
        <v>0.09</v>
      </c>
      <c r="Q25" s="1">
        <v>0.95099999999999996</v>
      </c>
    </row>
    <row r="26" spans="1:17" ht="15.75" customHeight="1" x14ac:dyDescent="0.15">
      <c r="A26" s="2">
        <v>45330</v>
      </c>
      <c r="B26" s="1" t="s">
        <v>59</v>
      </c>
      <c r="C26" s="10" t="str">
        <f t="shared" si="0"/>
        <v>37.19731</v>
      </c>
      <c r="D26" s="11">
        <f t="shared" si="1"/>
        <v>-80.564160000000001</v>
      </c>
      <c r="E26" s="1" t="s">
        <v>60</v>
      </c>
      <c r="F26" s="13">
        <v>6.0416666666666667E-2</v>
      </c>
      <c r="G26" s="1">
        <v>5.5</v>
      </c>
      <c r="H26" s="1">
        <v>723.7</v>
      </c>
      <c r="I26" s="1">
        <v>92.3</v>
      </c>
      <c r="J26" s="1">
        <v>11.62</v>
      </c>
      <c r="K26" s="1">
        <v>146.9</v>
      </c>
      <c r="L26" s="1">
        <v>96</v>
      </c>
      <c r="M26" s="1">
        <v>11.31</v>
      </c>
      <c r="N26" s="1"/>
      <c r="O26" s="1">
        <v>0.06</v>
      </c>
      <c r="P26" s="1">
        <v>0.06</v>
      </c>
      <c r="Q26" s="1">
        <v>0.92800000000000005</v>
      </c>
    </row>
    <row r="27" spans="1:17" ht="15.75" customHeight="1" x14ac:dyDescent="0.15">
      <c r="A27" s="2">
        <v>45330</v>
      </c>
      <c r="B27" s="1" t="s">
        <v>61</v>
      </c>
      <c r="C27" s="10" t="str">
        <f t="shared" si="0"/>
        <v>37.19731</v>
      </c>
      <c r="D27" s="11">
        <f t="shared" si="1"/>
        <v>-80.564160000000001</v>
      </c>
      <c r="E27" s="5" t="s">
        <v>60</v>
      </c>
      <c r="F27" s="13">
        <v>6.458333333333334E-2</v>
      </c>
      <c r="G27" s="1">
        <v>5</v>
      </c>
      <c r="H27" s="1">
        <v>723.7</v>
      </c>
      <c r="I27" s="1">
        <v>92.6</v>
      </c>
      <c r="J27" s="1">
        <v>11.83</v>
      </c>
      <c r="K27" s="1">
        <v>140.19999999999999</v>
      </c>
      <c r="L27" s="1">
        <v>91</v>
      </c>
      <c r="M27" s="1">
        <v>9.15</v>
      </c>
      <c r="N27" s="1"/>
      <c r="O27" s="1">
        <v>7.0000000000000007E-2</v>
      </c>
      <c r="P27" s="1">
        <v>0.06</v>
      </c>
      <c r="Q27" s="1">
        <v>0.86499999999999999</v>
      </c>
    </row>
    <row r="28" spans="1:17" ht="15.75" customHeight="1" x14ac:dyDescent="0.15">
      <c r="A28" s="2">
        <v>45330</v>
      </c>
      <c r="B28" s="1" t="s">
        <v>62</v>
      </c>
      <c r="C28" s="10" t="str">
        <f t="shared" si="0"/>
        <v>37.19838</v>
      </c>
      <c r="D28" s="11">
        <f t="shared" si="1"/>
        <v>-80.565200000000004</v>
      </c>
      <c r="E28" s="1" t="s">
        <v>63</v>
      </c>
      <c r="F28" s="13">
        <v>6.805555555555555E-2</v>
      </c>
      <c r="G28" s="1">
        <v>5.0999999999999996</v>
      </c>
      <c r="H28" s="1">
        <v>723.5</v>
      </c>
      <c r="I28" s="1">
        <v>93.6</v>
      </c>
      <c r="J28" s="1">
        <v>11.91</v>
      </c>
      <c r="K28" s="1">
        <v>145.19999999999999</v>
      </c>
      <c r="L28" s="1">
        <v>94</v>
      </c>
      <c r="M28" s="1">
        <v>7.2</v>
      </c>
      <c r="N28" s="1"/>
      <c r="O28" s="1">
        <v>0.13</v>
      </c>
      <c r="P28" s="1">
        <v>0.05</v>
      </c>
      <c r="Q28" s="1">
        <v>1.0640000000000001</v>
      </c>
    </row>
    <row r="29" spans="1:17" ht="15.75" customHeight="1" x14ac:dyDescent="0.15">
      <c r="A29" s="2">
        <v>45336</v>
      </c>
      <c r="B29" s="1" t="s">
        <v>64</v>
      </c>
      <c r="C29" s="10" t="str">
        <f t="shared" si="0"/>
        <v>37.19740</v>
      </c>
      <c r="D29" s="11">
        <f t="shared" si="1"/>
        <v>-80.563999999999993</v>
      </c>
      <c r="E29" s="8" t="s">
        <v>65</v>
      </c>
      <c r="F29" s="13">
        <v>4.4444444444444446E-2</v>
      </c>
      <c r="G29" s="1">
        <v>6.6</v>
      </c>
      <c r="H29" s="1">
        <v>721.7</v>
      </c>
      <c r="I29" s="1">
        <v>91.9</v>
      </c>
      <c r="J29" s="1">
        <v>11.25</v>
      </c>
      <c r="K29" s="1">
        <v>119.7</v>
      </c>
      <c r="L29" s="1">
        <v>78</v>
      </c>
      <c r="M29" s="1">
        <v>14.21</v>
      </c>
      <c r="N29" s="1"/>
      <c r="O29" s="1">
        <v>0.18</v>
      </c>
      <c r="P29" s="1">
        <v>0.02</v>
      </c>
      <c r="Q29" s="1">
        <v>0.66900000000000004</v>
      </c>
    </row>
    <row r="30" spans="1:17" ht="15.75" customHeight="1" x14ac:dyDescent="0.15">
      <c r="A30" s="2">
        <v>45336</v>
      </c>
      <c r="B30" s="1" t="s">
        <v>66</v>
      </c>
      <c r="C30" s="10" t="str">
        <f t="shared" si="0"/>
        <v>37.19795</v>
      </c>
      <c r="D30" s="11">
        <f t="shared" si="1"/>
        <v>-80.564660000000003</v>
      </c>
      <c r="E30" s="9" t="s">
        <v>67</v>
      </c>
      <c r="F30" s="13">
        <v>5.1388888888888887E-2</v>
      </c>
      <c r="G30" s="1">
        <v>6.6</v>
      </c>
      <c r="H30" s="1">
        <v>721.7</v>
      </c>
      <c r="I30" s="1">
        <v>94</v>
      </c>
      <c r="J30" s="1">
        <v>11.53</v>
      </c>
      <c r="K30" s="1">
        <v>121.5</v>
      </c>
      <c r="L30" s="1">
        <v>79</v>
      </c>
      <c r="M30" s="1">
        <v>10.41</v>
      </c>
      <c r="N30" s="1"/>
      <c r="O30" s="1">
        <v>0.19</v>
      </c>
      <c r="P30" s="1">
        <v>0.06</v>
      </c>
      <c r="Q30" s="1">
        <v>0.76100000000000001</v>
      </c>
    </row>
    <row r="31" spans="1:17" ht="15.75" customHeight="1" x14ac:dyDescent="0.15">
      <c r="A31" s="2">
        <v>45336</v>
      </c>
      <c r="B31" s="1" t="s">
        <v>68</v>
      </c>
      <c r="C31" s="10" t="str">
        <f t="shared" si="0"/>
        <v>37.19838</v>
      </c>
      <c r="D31" s="11">
        <f t="shared" si="1"/>
        <v>-80.565079999999995</v>
      </c>
      <c r="E31" s="9" t="s">
        <v>69</v>
      </c>
      <c r="F31" s="13">
        <v>5.4166666666666669E-2</v>
      </c>
      <c r="G31" s="1">
        <v>6.6</v>
      </c>
      <c r="H31" s="1">
        <v>721.5</v>
      </c>
      <c r="I31" s="1">
        <v>93.8</v>
      </c>
      <c r="J31" s="1">
        <v>11.49</v>
      </c>
      <c r="K31" s="1">
        <v>123.3</v>
      </c>
      <c r="L31" s="1">
        <v>80</v>
      </c>
      <c r="M31" s="1">
        <v>10.35</v>
      </c>
      <c r="N31" s="1"/>
      <c r="O31" s="1">
        <v>0.21</v>
      </c>
      <c r="P31" s="1">
        <v>0.12</v>
      </c>
      <c r="Q31" s="1">
        <v>0.85799999999999998</v>
      </c>
    </row>
    <row r="32" spans="1:17" ht="15.75" customHeight="1" x14ac:dyDescent="0.15">
      <c r="A32" s="2">
        <v>45347</v>
      </c>
      <c r="B32" s="1" t="s">
        <v>70</v>
      </c>
      <c r="C32" s="10" t="str">
        <f t="shared" si="0"/>
        <v>37.14409</v>
      </c>
      <c r="D32" s="11">
        <f t="shared" si="1"/>
        <v>-80.563239999999993</v>
      </c>
      <c r="E32" s="1" t="s">
        <v>71</v>
      </c>
      <c r="F32" s="13">
        <v>0.51944444444444449</v>
      </c>
      <c r="G32" s="1">
        <v>7.1</v>
      </c>
      <c r="H32" s="1">
        <v>720.1</v>
      </c>
      <c r="I32" s="1">
        <v>90.2</v>
      </c>
      <c r="J32" s="1">
        <v>10.92</v>
      </c>
      <c r="K32" s="1">
        <v>124.8</v>
      </c>
      <c r="L32" s="1">
        <v>81</v>
      </c>
      <c r="M32" s="1">
        <v>4.2</v>
      </c>
      <c r="N32" s="1"/>
      <c r="O32" s="1">
        <v>0.13</v>
      </c>
      <c r="P32" s="1">
        <v>0.04</v>
      </c>
      <c r="Q32" s="1">
        <v>0.61499999999999999</v>
      </c>
    </row>
    <row r="33" spans="1:17" ht="15.75" customHeight="1" x14ac:dyDescent="0.15">
      <c r="A33" s="2">
        <v>45347</v>
      </c>
      <c r="B33" s="1" t="s">
        <v>72</v>
      </c>
      <c r="C33" s="10" t="str">
        <f t="shared" si="0"/>
        <v>37.14388</v>
      </c>
      <c r="D33" s="11">
        <f t="shared" si="1"/>
        <v>-80.562730000000002</v>
      </c>
      <c r="E33" s="1" t="s">
        <v>73</v>
      </c>
      <c r="F33" s="13">
        <v>0.52152777777777781</v>
      </c>
      <c r="G33" s="1">
        <v>7.1</v>
      </c>
      <c r="H33" s="1">
        <v>720.2</v>
      </c>
      <c r="I33" s="1">
        <v>90.8</v>
      </c>
      <c r="J33" s="1">
        <v>10.99</v>
      </c>
      <c r="K33" s="1">
        <v>119.7</v>
      </c>
      <c r="L33" s="1">
        <v>78</v>
      </c>
      <c r="M33" s="1">
        <v>3.95</v>
      </c>
      <c r="N33" s="1"/>
      <c r="O33" s="1">
        <v>0.11</v>
      </c>
      <c r="P33" s="1">
        <v>7.0000000000000007E-2</v>
      </c>
      <c r="Q33" s="1">
        <v>1.2909999999999999</v>
      </c>
    </row>
    <row r="34" spans="1:17" ht="15.75" customHeight="1" x14ac:dyDescent="0.15">
      <c r="A34" s="2">
        <v>45347</v>
      </c>
      <c r="B34" s="1" t="s">
        <v>74</v>
      </c>
      <c r="C34" s="10" t="str">
        <f t="shared" si="0"/>
        <v>37.14358</v>
      </c>
      <c r="D34" s="11">
        <f t="shared" si="1"/>
        <v>-80.562539999999998</v>
      </c>
      <c r="E34" s="1" t="s">
        <v>75</v>
      </c>
      <c r="F34" s="13">
        <v>0.52361111111111114</v>
      </c>
      <c r="G34" s="1">
        <v>6.9</v>
      </c>
      <c r="H34" s="1">
        <v>720.2</v>
      </c>
      <c r="I34" s="1">
        <v>89.2</v>
      </c>
      <c r="J34" s="1">
        <v>10.86</v>
      </c>
      <c r="K34" s="1">
        <v>124.7</v>
      </c>
      <c r="L34" s="1">
        <v>81</v>
      </c>
      <c r="M34" s="1">
        <v>4.0599999999999996</v>
      </c>
      <c r="N34" s="1"/>
      <c r="O34" s="1">
        <v>0.12</v>
      </c>
      <c r="P34" s="1">
        <v>0.06</v>
      </c>
      <c r="Q34" s="1">
        <v>0.96</v>
      </c>
    </row>
    <row r="35" spans="1:17" ht="15.75" customHeight="1" x14ac:dyDescent="0.15">
      <c r="A35" s="2">
        <v>45356</v>
      </c>
      <c r="B35" s="1" t="s">
        <v>76</v>
      </c>
      <c r="C35" s="10" t="str">
        <f t="shared" si="0"/>
        <v>37.14408</v>
      </c>
      <c r="D35" s="11">
        <f t="shared" si="1"/>
        <v>-80.563239999999993</v>
      </c>
      <c r="E35" s="9" t="s">
        <v>77</v>
      </c>
    </row>
    <row r="36" spans="1:17" ht="15.75" customHeight="1" x14ac:dyDescent="0.15">
      <c r="A36" s="2">
        <v>45356</v>
      </c>
      <c r="B36" s="1" t="s">
        <v>78</v>
      </c>
      <c r="C36" s="10" t="str">
        <f>LEFT(E36,8)</f>
        <v>37.14379</v>
      </c>
      <c r="D36" s="11">
        <f>MID(E36, 13, 9) *-1</f>
        <v>-80.563010000000006</v>
      </c>
      <c r="E36" s="9" t="s">
        <v>79</v>
      </c>
      <c r="F36" s="13">
        <v>0.53541666666666665</v>
      </c>
      <c r="G36" s="1">
        <v>8.4</v>
      </c>
      <c r="H36" s="1">
        <v>718.4</v>
      </c>
      <c r="I36" s="1">
        <v>95.4</v>
      </c>
      <c r="J36" s="1">
        <v>11.19</v>
      </c>
      <c r="K36" s="1">
        <v>116.6</v>
      </c>
      <c r="L36" s="1">
        <v>76</v>
      </c>
      <c r="M36" s="1">
        <v>6.14</v>
      </c>
      <c r="N36" s="1"/>
      <c r="O36" s="1">
        <v>0.14000000000000001</v>
      </c>
      <c r="P36" s="1">
        <v>0.06</v>
      </c>
      <c r="Q36" s="1">
        <v>0.81499999999999995</v>
      </c>
    </row>
    <row r="37" spans="1:17" ht="15.75" customHeight="1" x14ac:dyDescent="0.15">
      <c r="A37" s="2">
        <v>45356</v>
      </c>
      <c r="B37" s="1" t="s">
        <v>80</v>
      </c>
      <c r="C37" s="10" t="str">
        <f t="shared" ref="C37:C53" si="2">LEFT(E37, 8)</f>
        <v>37.14358</v>
      </c>
      <c r="D37" s="11">
        <f t="shared" ref="D37:D40" si="3">MID(E37, 13, 8)*-1</f>
        <v>-80.562420000000003</v>
      </c>
      <c r="E37" s="9" t="s">
        <v>81</v>
      </c>
      <c r="F37" s="13">
        <v>0.53611111111111109</v>
      </c>
      <c r="G37" s="1">
        <v>9.6999999999999993</v>
      </c>
      <c r="H37" s="1">
        <v>718.4</v>
      </c>
      <c r="I37" s="1">
        <v>94.5</v>
      </c>
      <c r="J37" s="1">
        <v>10.75</v>
      </c>
      <c r="K37" s="1">
        <v>123.3</v>
      </c>
      <c r="L37" s="1">
        <v>80</v>
      </c>
      <c r="M37" s="1">
        <v>4.75</v>
      </c>
      <c r="N37" s="1"/>
      <c r="O37" s="1">
        <v>0.1</v>
      </c>
      <c r="P37" s="1">
        <v>0.02</v>
      </c>
      <c r="Q37" s="1">
        <v>0.72599999999999998</v>
      </c>
    </row>
    <row r="38" spans="1:17" ht="15.75" customHeight="1" x14ac:dyDescent="0.15">
      <c r="A38" s="2">
        <v>45356</v>
      </c>
      <c r="B38" s="1" t="s">
        <v>82</v>
      </c>
      <c r="C38" s="10" t="str">
        <f t="shared" si="2"/>
        <v>37.19757</v>
      </c>
      <c r="D38" s="11">
        <f t="shared" si="3"/>
        <v>-80.564019999999999</v>
      </c>
      <c r="E38" s="9" t="s">
        <v>83</v>
      </c>
      <c r="F38" s="13">
        <v>7.0833333333333331E-2</v>
      </c>
      <c r="G38" s="1">
        <v>8.4</v>
      </c>
      <c r="H38" s="1">
        <v>718.9</v>
      </c>
      <c r="I38" s="1">
        <v>92.1</v>
      </c>
      <c r="J38" s="1">
        <v>10.8</v>
      </c>
      <c r="K38" s="1">
        <v>129.9</v>
      </c>
      <c r="L38" s="1">
        <v>84</v>
      </c>
      <c r="M38" s="1">
        <v>4.3499999999999996</v>
      </c>
      <c r="N38" s="1"/>
      <c r="O38" s="1">
        <v>0.06</v>
      </c>
      <c r="P38" s="1">
        <v>0</v>
      </c>
      <c r="Q38" s="1">
        <v>0.85099999999999998</v>
      </c>
    </row>
    <row r="39" spans="1:17" ht="15.75" customHeight="1" x14ac:dyDescent="0.15">
      <c r="A39" s="2">
        <v>45356</v>
      </c>
      <c r="B39" s="1" t="s">
        <v>84</v>
      </c>
      <c r="C39" s="10" t="str">
        <f t="shared" si="2"/>
        <v>37.19787</v>
      </c>
      <c r="D39" s="11">
        <f t="shared" si="3"/>
        <v>-80.564790000000002</v>
      </c>
      <c r="E39" s="9" t="s">
        <v>85</v>
      </c>
      <c r="F39" s="13">
        <v>7.2916666666666671E-2</v>
      </c>
      <c r="G39" s="1">
        <v>8.1999999999999993</v>
      </c>
      <c r="H39" s="1">
        <v>718.8</v>
      </c>
      <c r="I39" s="1">
        <v>91.5</v>
      </c>
      <c r="J39" s="1">
        <v>10.78</v>
      </c>
      <c r="K39" s="1">
        <v>132.19999999999999</v>
      </c>
      <c r="L39" s="1">
        <v>86</v>
      </c>
      <c r="M39" s="1">
        <v>2.4900000000000002</v>
      </c>
      <c r="N39" s="1"/>
      <c r="O39" s="1">
        <v>0.08</v>
      </c>
      <c r="P39" s="1">
        <v>0.04</v>
      </c>
      <c r="Q39" s="1">
        <v>0.878</v>
      </c>
    </row>
    <row r="40" spans="1:17" ht="15.75" customHeight="1" x14ac:dyDescent="0.15">
      <c r="A40" s="2">
        <v>45356</v>
      </c>
      <c r="B40" s="1" t="s">
        <v>86</v>
      </c>
      <c r="C40" s="10" t="str">
        <f t="shared" si="2"/>
        <v>37.19850</v>
      </c>
      <c r="D40" s="11">
        <f t="shared" si="3"/>
        <v>-80.565039999999996</v>
      </c>
      <c r="E40" s="9" t="s">
        <v>52</v>
      </c>
    </row>
    <row r="41" spans="1:17" ht="15.75" customHeight="1" x14ac:dyDescent="0.15">
      <c r="A41" s="26">
        <v>45364</v>
      </c>
      <c r="B41" s="1" t="s">
        <v>87</v>
      </c>
      <c r="C41" s="10" t="str">
        <f t="shared" si="2"/>
        <v>37.14442</v>
      </c>
      <c r="D41" s="11">
        <f t="shared" ref="D41:D53" si="4">MID(E41, 13, 8) *-1</f>
        <v>-80.562489999999997</v>
      </c>
      <c r="E41" s="9" t="s">
        <v>88</v>
      </c>
      <c r="F41" s="18">
        <v>0.22847222222222222</v>
      </c>
      <c r="G41">
        <v>9.6</v>
      </c>
      <c r="H41">
        <v>716.1</v>
      </c>
      <c r="I41">
        <v>94.3</v>
      </c>
      <c r="J41">
        <v>10.76</v>
      </c>
      <c r="K41">
        <v>121.6</v>
      </c>
      <c r="L41">
        <v>79</v>
      </c>
      <c r="M41">
        <v>4.41</v>
      </c>
      <c r="O41">
        <v>7.0000000000000007E-2</v>
      </c>
      <c r="P41">
        <v>0.01</v>
      </c>
      <c r="Q41">
        <v>0.55200000000000005</v>
      </c>
    </row>
    <row r="42" spans="1:17" ht="15.75" customHeight="1" x14ac:dyDescent="0.15">
      <c r="A42" s="26">
        <v>45364</v>
      </c>
      <c r="B42" s="1" t="s">
        <v>89</v>
      </c>
      <c r="C42" s="10" t="str">
        <f t="shared" si="2"/>
        <v>37.14343</v>
      </c>
      <c r="D42" s="11">
        <f t="shared" si="4"/>
        <v>-80.563190000000006</v>
      </c>
      <c r="E42" s="9" t="s">
        <v>90</v>
      </c>
      <c r="F42" s="18"/>
    </row>
    <row r="43" spans="1:17" ht="15.75" customHeight="1" x14ac:dyDescent="0.15">
      <c r="A43" s="26">
        <v>45364</v>
      </c>
      <c r="B43" s="1" t="s">
        <v>91</v>
      </c>
      <c r="C43" s="10" t="str">
        <f t="shared" si="2"/>
        <v>37.14346</v>
      </c>
      <c r="D43" s="11">
        <f t="shared" si="4"/>
        <v>-80.562709999999996</v>
      </c>
      <c r="E43" s="9" t="s">
        <v>92</v>
      </c>
      <c r="F43" s="18">
        <v>0.24374999999999999</v>
      </c>
      <c r="G43">
        <v>10.1</v>
      </c>
      <c r="H43">
        <v>716.2</v>
      </c>
      <c r="I43">
        <v>94.3</v>
      </c>
      <c r="J43">
        <v>10.61</v>
      </c>
      <c r="K43">
        <v>119.4</v>
      </c>
      <c r="L43">
        <v>78</v>
      </c>
      <c r="M43">
        <v>2.5099999999999998</v>
      </c>
      <c r="O43">
        <v>7.0000000000000007E-2</v>
      </c>
      <c r="P43">
        <v>-0.01</v>
      </c>
      <c r="Q43">
        <v>0.92400000000000004</v>
      </c>
    </row>
    <row r="44" spans="1:17" ht="15.75" customHeight="1" x14ac:dyDescent="0.15">
      <c r="A44" s="26">
        <v>45367</v>
      </c>
      <c r="B44" s="1" t="s">
        <v>93</v>
      </c>
      <c r="C44" s="10" t="str">
        <f t="shared" si="2"/>
        <v>37.19752</v>
      </c>
      <c r="D44" s="11">
        <f t="shared" si="4"/>
        <v>-80.563910000000007</v>
      </c>
      <c r="E44" t="s">
        <v>94</v>
      </c>
      <c r="F44" s="18">
        <v>0.52986111111111112</v>
      </c>
      <c r="G44">
        <v>10.6</v>
      </c>
      <c r="H44">
        <v>717</v>
      </c>
      <c r="I44">
        <v>89.3</v>
      </c>
      <c r="J44">
        <v>9.94</v>
      </c>
      <c r="K44">
        <v>128</v>
      </c>
      <c r="L44">
        <v>83</v>
      </c>
      <c r="M44">
        <v>11.9</v>
      </c>
      <c r="O44">
        <v>0.13</v>
      </c>
      <c r="P44">
        <v>0</v>
      </c>
      <c r="Q44">
        <v>1.518</v>
      </c>
    </row>
    <row r="45" spans="1:17" ht="15.75" customHeight="1" x14ac:dyDescent="0.15">
      <c r="A45" s="26">
        <v>45367</v>
      </c>
      <c r="B45" s="1" t="s">
        <v>95</v>
      </c>
      <c r="C45" s="10" t="str">
        <f t="shared" si="2"/>
        <v>37.19775</v>
      </c>
      <c r="D45" s="11">
        <f t="shared" si="4"/>
        <v>-80.564689999999999</v>
      </c>
      <c r="E45" t="s">
        <v>96</v>
      </c>
      <c r="F45" s="18">
        <v>0.53125</v>
      </c>
      <c r="G45">
        <v>10.5</v>
      </c>
      <c r="H45">
        <v>717</v>
      </c>
      <c r="I45">
        <v>90.3</v>
      </c>
      <c r="J45">
        <v>10.07</v>
      </c>
      <c r="K45">
        <v>127.6</v>
      </c>
      <c r="L45">
        <v>83</v>
      </c>
      <c r="M45">
        <v>3.78</v>
      </c>
      <c r="O45">
        <v>0.09</v>
      </c>
      <c r="P45">
        <v>0.02</v>
      </c>
      <c r="Q45">
        <v>1.6919999999999999</v>
      </c>
    </row>
    <row r="46" spans="1:17" ht="15.75" customHeight="1" x14ac:dyDescent="0.15">
      <c r="A46" s="26">
        <v>45367</v>
      </c>
      <c r="B46" s="1" t="s">
        <v>97</v>
      </c>
      <c r="C46" s="10" t="str">
        <f t="shared" si="2"/>
        <v>37.19835</v>
      </c>
      <c r="D46" s="11">
        <f t="shared" si="4"/>
        <v>-80.565060000000003</v>
      </c>
      <c r="E46" t="s">
        <v>98</v>
      </c>
      <c r="F46" s="18">
        <v>0.53402777777777777</v>
      </c>
      <c r="G46">
        <v>10.5</v>
      </c>
      <c r="H46">
        <v>716.9</v>
      </c>
      <c r="I46">
        <v>90.7</v>
      </c>
      <c r="J46">
        <v>10.130000000000001</v>
      </c>
      <c r="K46">
        <v>130.69999999999999</v>
      </c>
      <c r="L46">
        <v>85</v>
      </c>
      <c r="M46">
        <v>2.2999999999999998</v>
      </c>
      <c r="O46">
        <v>0.09</v>
      </c>
      <c r="P46">
        <v>0.04</v>
      </c>
      <c r="Q46">
        <v>1.548</v>
      </c>
    </row>
    <row r="47" spans="1:17" ht="15.75" customHeight="1" x14ac:dyDescent="0.15">
      <c r="A47" s="26">
        <v>45375</v>
      </c>
      <c r="B47" s="1" t="s">
        <v>99</v>
      </c>
      <c r="C47" s="10" t="str">
        <f t="shared" si="2"/>
        <v>37.14419</v>
      </c>
      <c r="D47" s="11">
        <f t="shared" si="4"/>
        <v>-80.563079999999999</v>
      </c>
      <c r="E47" t="s">
        <v>100</v>
      </c>
      <c r="F47" s="18">
        <v>0.52708333333333335</v>
      </c>
      <c r="G47">
        <v>10.199999999999999</v>
      </c>
      <c r="H47">
        <v>722.2</v>
      </c>
      <c r="I47">
        <v>94.4</v>
      </c>
      <c r="J47">
        <v>10.61</v>
      </c>
      <c r="K47">
        <v>110.5</v>
      </c>
      <c r="L47">
        <v>72</v>
      </c>
      <c r="M47">
        <v>6.15</v>
      </c>
      <c r="O47">
        <v>0.13</v>
      </c>
      <c r="P47">
        <v>-0.01</v>
      </c>
      <c r="Q47">
        <v>1.204</v>
      </c>
    </row>
    <row r="48" spans="1:17" ht="15.75" customHeight="1" x14ac:dyDescent="0.15">
      <c r="A48" s="26">
        <v>45375</v>
      </c>
      <c r="B48" s="1" t="s">
        <v>101</v>
      </c>
      <c r="C48" s="10" t="str">
        <f t="shared" si="2"/>
        <v>37.14426</v>
      </c>
      <c r="D48" s="11">
        <f t="shared" si="4"/>
        <v>-80.562299999999993</v>
      </c>
      <c r="E48" t="s">
        <v>102</v>
      </c>
      <c r="F48" s="18">
        <v>0.52847222222222223</v>
      </c>
      <c r="G48">
        <v>10.1</v>
      </c>
      <c r="H48">
        <v>722.2</v>
      </c>
      <c r="I48">
        <v>96.1</v>
      </c>
      <c r="J48">
        <v>10.81</v>
      </c>
      <c r="K48">
        <v>107.9</v>
      </c>
      <c r="L48">
        <v>70</v>
      </c>
      <c r="M48">
        <v>2.4300000000000002</v>
      </c>
      <c r="O48">
        <v>0.09</v>
      </c>
      <c r="P48">
        <v>0</v>
      </c>
      <c r="Q48">
        <v>1.3180000000000001</v>
      </c>
    </row>
    <row r="49" spans="1:17" ht="15.75" customHeight="1" x14ac:dyDescent="0.15">
      <c r="A49" s="26">
        <v>45375</v>
      </c>
      <c r="B49" s="1" t="s">
        <v>103</v>
      </c>
      <c r="C49" s="10" t="str">
        <f t="shared" si="2"/>
        <v>37.14366</v>
      </c>
      <c r="D49" s="11">
        <f t="shared" si="4"/>
        <v>-80.562219999999996</v>
      </c>
      <c r="E49" t="s">
        <v>104</v>
      </c>
      <c r="F49" s="18">
        <v>0.53194444444444444</v>
      </c>
      <c r="G49">
        <v>10.1</v>
      </c>
      <c r="H49">
        <v>722.3</v>
      </c>
      <c r="I49">
        <v>95.2</v>
      </c>
      <c r="J49">
        <v>10.71</v>
      </c>
      <c r="K49">
        <v>125.6</v>
      </c>
      <c r="L49">
        <v>82</v>
      </c>
      <c r="M49">
        <v>3.07</v>
      </c>
      <c r="O49">
        <v>7.0000000000000007E-2</v>
      </c>
      <c r="P49">
        <v>-0.09</v>
      </c>
      <c r="Q49">
        <v>1.4650000000000001</v>
      </c>
    </row>
    <row r="50" spans="1:17" ht="15.75" customHeight="1" x14ac:dyDescent="0.15">
      <c r="A50" s="26">
        <v>45389</v>
      </c>
      <c r="B50" s="1" t="s">
        <v>105</v>
      </c>
      <c r="C50" s="10" t="str">
        <f t="shared" si="2"/>
        <v>37.19753</v>
      </c>
      <c r="D50" s="11">
        <f t="shared" si="4"/>
        <v>-80.563969999999998</v>
      </c>
      <c r="E50" t="s">
        <v>106</v>
      </c>
      <c r="F50" s="18">
        <v>0.49791666666666667</v>
      </c>
      <c r="G50">
        <v>11.4</v>
      </c>
      <c r="H50">
        <v>722.6</v>
      </c>
      <c r="I50">
        <v>101.5</v>
      </c>
      <c r="J50">
        <v>11.09</v>
      </c>
      <c r="K50">
        <v>124.7</v>
      </c>
      <c r="L50">
        <v>81</v>
      </c>
      <c r="M50">
        <v>3.47</v>
      </c>
      <c r="O50">
        <v>0.06</v>
      </c>
      <c r="P50">
        <v>-0.06</v>
      </c>
      <c r="Q50">
        <v>0.96599999999999997</v>
      </c>
    </row>
    <row r="51" spans="1:17" ht="15.75" customHeight="1" x14ac:dyDescent="0.15">
      <c r="A51" s="26">
        <v>45389</v>
      </c>
      <c r="B51" s="1" t="s">
        <v>107</v>
      </c>
      <c r="C51" s="10" t="str">
        <f t="shared" si="2"/>
        <v>37.19913</v>
      </c>
      <c r="D51" s="11">
        <f t="shared" si="4"/>
        <v>-80.561989999999994</v>
      </c>
      <c r="E51" t="s">
        <v>108</v>
      </c>
      <c r="F51" s="18">
        <v>0.52916666666666667</v>
      </c>
      <c r="G51">
        <v>11.2</v>
      </c>
      <c r="H51">
        <v>722.2</v>
      </c>
      <c r="I51">
        <v>100.6</v>
      </c>
      <c r="J51">
        <v>11.04</v>
      </c>
      <c r="K51">
        <v>124.5</v>
      </c>
      <c r="L51">
        <v>81</v>
      </c>
      <c r="M51">
        <v>3.21</v>
      </c>
      <c r="O51">
        <v>0.11</v>
      </c>
      <c r="P51">
        <v>-0.01</v>
      </c>
      <c r="Q51">
        <v>0.94</v>
      </c>
    </row>
    <row r="52" spans="1:17" ht="15.75" customHeight="1" x14ac:dyDescent="0.15">
      <c r="A52" s="26">
        <v>45389</v>
      </c>
      <c r="B52" s="1" t="s">
        <v>109</v>
      </c>
      <c r="C52" s="10" t="str">
        <f t="shared" si="2"/>
        <v>37.19835</v>
      </c>
      <c r="D52" s="11">
        <f t="shared" si="4"/>
        <v>-80.565100000000001</v>
      </c>
      <c r="E52" t="s">
        <v>110</v>
      </c>
      <c r="F52" s="18">
        <v>0.53541666666666665</v>
      </c>
      <c r="G52">
        <v>11.4</v>
      </c>
      <c r="H52">
        <v>722.2</v>
      </c>
      <c r="I52">
        <v>102.4</v>
      </c>
      <c r="J52">
        <v>11.19</v>
      </c>
      <c r="K52">
        <v>127.2</v>
      </c>
      <c r="L52">
        <v>83</v>
      </c>
      <c r="M52">
        <v>1.42</v>
      </c>
      <c r="O52">
        <v>7.0000000000000007E-2</v>
      </c>
      <c r="P52">
        <v>0.01</v>
      </c>
      <c r="Q52">
        <v>0.65700000000000003</v>
      </c>
    </row>
    <row r="53" spans="1:17" ht="15.75" customHeight="1" x14ac:dyDescent="0.15">
      <c r="A53" s="26">
        <v>45389</v>
      </c>
      <c r="B53" s="1" t="s">
        <v>111</v>
      </c>
      <c r="C53" s="10" t="str">
        <f t="shared" si="2"/>
        <v>37.20054</v>
      </c>
      <c r="D53" s="11">
        <f t="shared" si="4"/>
        <v>-80.553629999999998</v>
      </c>
      <c r="E53" t="s">
        <v>112</v>
      </c>
      <c r="F53" s="18">
        <v>0.51458333333333328</v>
      </c>
      <c r="G53">
        <v>11.4</v>
      </c>
      <c r="H53">
        <v>722.5</v>
      </c>
      <c r="I53">
        <v>101.9</v>
      </c>
      <c r="J53">
        <v>11.14</v>
      </c>
      <c r="K53">
        <v>123.2</v>
      </c>
      <c r="L53">
        <v>80</v>
      </c>
      <c r="M53">
        <v>5.1100000000000003</v>
      </c>
      <c r="O53">
        <v>0.13</v>
      </c>
      <c r="P53">
        <v>-0.04</v>
      </c>
      <c r="Q53">
        <v>0.48799999999999999</v>
      </c>
    </row>
    <row r="54" spans="1:17" ht="15.75" customHeight="1" x14ac:dyDescent="0.2">
      <c r="A54" s="28">
        <v>45410</v>
      </c>
      <c r="B54" s="25" t="s">
        <v>113</v>
      </c>
      <c r="C54" s="25">
        <v>37.144039999999997</v>
      </c>
      <c r="D54" s="25">
        <v>-80.563419999999994</v>
      </c>
      <c r="E54" s="29" t="s">
        <v>114</v>
      </c>
      <c r="F54" s="18">
        <v>0.54027777777777775</v>
      </c>
      <c r="G54">
        <v>16.3</v>
      </c>
      <c r="H54">
        <v>723.1</v>
      </c>
      <c r="I54">
        <v>97.6</v>
      </c>
      <c r="J54">
        <v>9.57</v>
      </c>
      <c r="K54">
        <v>102.7</v>
      </c>
      <c r="L54">
        <v>67</v>
      </c>
      <c r="M54">
        <v>2.2400000000000002</v>
      </c>
      <c r="N54">
        <v>0.48</v>
      </c>
      <c r="O54">
        <v>0.18</v>
      </c>
      <c r="P54">
        <v>-0.01</v>
      </c>
      <c r="Q54">
        <v>0.59199999999999997</v>
      </c>
    </row>
    <row r="55" spans="1:17" ht="15.75" customHeight="1" x14ac:dyDescent="0.2">
      <c r="A55" s="28">
        <v>45410</v>
      </c>
      <c r="B55" s="25" t="s">
        <v>115</v>
      </c>
      <c r="C55" s="25">
        <v>37.143880000000003</v>
      </c>
      <c r="D55" s="25">
        <v>-80.562920000000005</v>
      </c>
      <c r="E55" s="29" t="s">
        <v>116</v>
      </c>
      <c r="F55" s="18">
        <v>4.2361111111111113E-2</v>
      </c>
      <c r="G55">
        <v>16.3</v>
      </c>
      <c r="H55">
        <v>723.2</v>
      </c>
      <c r="I55">
        <v>100.3</v>
      </c>
      <c r="J55">
        <v>9.83</v>
      </c>
      <c r="K55">
        <v>96.8</v>
      </c>
      <c r="L55">
        <v>63</v>
      </c>
      <c r="M55">
        <v>1.74</v>
      </c>
      <c r="N55">
        <v>0.46</v>
      </c>
      <c r="O55">
        <v>0.17</v>
      </c>
      <c r="P55">
        <v>0.02</v>
      </c>
      <c r="Q55">
        <v>0.83</v>
      </c>
    </row>
    <row r="56" spans="1:17" ht="15.75" customHeight="1" x14ac:dyDescent="0.2">
      <c r="A56" s="28">
        <v>45410</v>
      </c>
      <c r="B56" s="25" t="s">
        <v>117</v>
      </c>
      <c r="C56" s="25">
        <v>37.14358</v>
      </c>
      <c r="D56" s="25">
        <v>-80.562430000000006</v>
      </c>
      <c r="E56" s="29" t="s">
        <v>118</v>
      </c>
      <c r="F56" s="18">
        <v>4.4444444444444446E-2</v>
      </c>
      <c r="G56">
        <v>17.100000000000001</v>
      </c>
      <c r="H56">
        <v>723.1</v>
      </c>
      <c r="I56">
        <v>107.7</v>
      </c>
      <c r="J56">
        <v>10.39</v>
      </c>
      <c r="K56">
        <v>102.9</v>
      </c>
      <c r="L56">
        <v>67</v>
      </c>
      <c r="M56">
        <v>1.45</v>
      </c>
      <c r="N56">
        <v>0.35</v>
      </c>
      <c r="O56">
        <v>0.12</v>
      </c>
      <c r="P56">
        <v>-0.01</v>
      </c>
      <c r="Q56">
        <v>1.016</v>
      </c>
    </row>
    <row r="57" spans="1:17" ht="15.75" customHeight="1" x14ac:dyDescent="0.15">
      <c r="A57" s="26">
        <v>45413</v>
      </c>
      <c r="B57" s="1" t="s">
        <v>119</v>
      </c>
      <c r="C57">
        <v>37.198430000000002</v>
      </c>
      <c r="D57">
        <v>-80.565070000000006</v>
      </c>
      <c r="E57" t="str">
        <f>_xlfn.CONCAT(C57, " N, ", D57, " W")</f>
        <v>37.19843 N, -80.56507 W</v>
      </c>
      <c r="F57" s="18">
        <v>5.4166666666666669E-2</v>
      </c>
      <c r="G57">
        <v>17.2</v>
      </c>
      <c r="H57">
        <v>719.2</v>
      </c>
      <c r="I57">
        <v>103</v>
      </c>
      <c r="J57">
        <v>9.9</v>
      </c>
      <c r="K57">
        <v>115.6</v>
      </c>
      <c r="L57">
        <v>75</v>
      </c>
      <c r="M57">
        <v>1.63</v>
      </c>
      <c r="N57">
        <v>0.28999999999999998</v>
      </c>
      <c r="O57">
        <v>0.09</v>
      </c>
      <c r="P57">
        <v>0.02</v>
      </c>
      <c r="Q57">
        <v>0.74399999999999999</v>
      </c>
    </row>
    <row r="58" spans="1:17" ht="15.75" customHeight="1" x14ac:dyDescent="0.15">
      <c r="A58" s="26">
        <v>45413</v>
      </c>
      <c r="B58" s="1" t="s">
        <v>120</v>
      </c>
      <c r="C58" s="30">
        <v>37.197600000000001</v>
      </c>
      <c r="D58">
        <v>-80.563770000000005</v>
      </c>
      <c r="E58" t="str">
        <f t="shared" ref="E58:E65" si="5">_xlfn.CONCAT(C58, " N, ", D58, " W")</f>
        <v>37.1976 N, -80.56377 W</v>
      </c>
      <c r="F58" s="18">
        <v>5.6944444444444443E-2</v>
      </c>
      <c r="G58">
        <v>17.899999999999999</v>
      </c>
      <c r="H58">
        <v>719.1</v>
      </c>
      <c r="I58">
        <v>104.6</v>
      </c>
      <c r="J58">
        <v>9.92</v>
      </c>
      <c r="K58">
        <v>120.8</v>
      </c>
      <c r="L58">
        <v>79</v>
      </c>
      <c r="M58">
        <v>1.18</v>
      </c>
      <c r="N58">
        <v>0.32</v>
      </c>
      <c r="O58">
        <v>0.11</v>
      </c>
      <c r="P58">
        <v>-0.01</v>
      </c>
      <c r="Q58">
        <v>0.64900000000000002</v>
      </c>
    </row>
    <row r="59" spans="1:17" ht="15.75" customHeight="1" x14ac:dyDescent="0.15">
      <c r="A59" s="26">
        <v>45413</v>
      </c>
      <c r="B59" s="1" t="s">
        <v>121</v>
      </c>
      <c r="C59">
        <v>37.198009999999996</v>
      </c>
      <c r="D59">
        <v>-80.564580000000007</v>
      </c>
      <c r="E59" t="str">
        <f t="shared" si="5"/>
        <v>37.19801 N, -80.56458 W</v>
      </c>
      <c r="F59" s="18">
        <v>6.0416666666666667E-2</v>
      </c>
      <c r="G59">
        <v>17</v>
      </c>
      <c r="H59">
        <v>719</v>
      </c>
      <c r="I59">
        <v>105.6</v>
      </c>
      <c r="J59">
        <v>10.199999999999999</v>
      </c>
      <c r="K59">
        <v>114.6</v>
      </c>
      <c r="L59">
        <v>75</v>
      </c>
      <c r="M59">
        <v>1.24</v>
      </c>
      <c r="N59">
        <v>0.28999999999999998</v>
      </c>
      <c r="O59">
        <v>0.1</v>
      </c>
      <c r="P59">
        <v>-0.03</v>
      </c>
      <c r="Q59">
        <v>0.53300000000000003</v>
      </c>
    </row>
    <row r="60" spans="1:17" ht="15.75" customHeight="1" x14ac:dyDescent="0.15">
      <c r="A60" s="26">
        <v>45422</v>
      </c>
      <c r="B60" s="25" t="s">
        <v>122</v>
      </c>
      <c r="C60">
        <v>37.14396</v>
      </c>
      <c r="D60">
        <v>-80.563630000000003</v>
      </c>
      <c r="E60" t="str">
        <f t="shared" si="5"/>
        <v>37.14396 N, -80.56363 W</v>
      </c>
      <c r="F60" s="18">
        <v>4.4444444444444446E-2</v>
      </c>
      <c r="G60">
        <v>18</v>
      </c>
      <c r="H60">
        <v>710.9</v>
      </c>
      <c r="I60">
        <v>97.3</v>
      </c>
      <c r="J60">
        <v>9.2100000000000009</v>
      </c>
      <c r="K60">
        <v>99.7</v>
      </c>
      <c r="L60">
        <v>65</v>
      </c>
      <c r="M60">
        <v>4.01</v>
      </c>
      <c r="N60">
        <v>0.91</v>
      </c>
      <c r="O60">
        <v>0.37</v>
      </c>
      <c r="P60">
        <v>0</v>
      </c>
      <c r="Q60">
        <v>0.83799999999999997</v>
      </c>
    </row>
    <row r="61" spans="1:17" ht="15.75" customHeight="1" x14ac:dyDescent="0.15">
      <c r="A61" s="26">
        <v>45422</v>
      </c>
      <c r="B61" s="25" t="s">
        <v>123</v>
      </c>
      <c r="C61">
        <v>37.143970000000003</v>
      </c>
      <c r="D61">
        <v>-80.562870000000004</v>
      </c>
      <c r="E61" t="str">
        <f t="shared" si="5"/>
        <v>37.14397 N, -80.56287 W</v>
      </c>
      <c r="F61" s="18">
        <v>4.583333333333333E-2</v>
      </c>
      <c r="G61">
        <v>18.100000000000001</v>
      </c>
      <c r="H61">
        <v>710.9</v>
      </c>
      <c r="I61">
        <v>99.5</v>
      </c>
      <c r="J61">
        <v>9.39</v>
      </c>
      <c r="K61">
        <v>96.9</v>
      </c>
      <c r="L61">
        <v>63</v>
      </c>
      <c r="M61">
        <v>1.33</v>
      </c>
      <c r="N61">
        <v>0.81</v>
      </c>
      <c r="O61">
        <v>0.32</v>
      </c>
      <c r="P61">
        <v>-0.04</v>
      </c>
      <c r="Q61">
        <v>0.78700000000000003</v>
      </c>
    </row>
    <row r="62" spans="1:17" ht="15.75" customHeight="1" x14ac:dyDescent="0.15">
      <c r="A62" s="26">
        <v>45422</v>
      </c>
      <c r="B62" s="25" t="s">
        <v>124</v>
      </c>
      <c r="C62">
        <v>37.14358</v>
      </c>
      <c r="D62">
        <v>-80.562380000000005</v>
      </c>
      <c r="E62" t="str">
        <f t="shared" si="5"/>
        <v>37.14358 N, -80.56238 W</v>
      </c>
      <c r="F62" s="18">
        <v>4.791666666666667E-2</v>
      </c>
      <c r="G62">
        <v>18.2</v>
      </c>
      <c r="H62">
        <v>710.9</v>
      </c>
      <c r="I62">
        <v>100.3</v>
      </c>
      <c r="J62">
        <v>9.4600000000000009</v>
      </c>
      <c r="K62">
        <v>117.9</v>
      </c>
      <c r="L62">
        <v>77</v>
      </c>
      <c r="M62">
        <v>11.28</v>
      </c>
      <c r="N62">
        <v>1.24</v>
      </c>
      <c r="O62">
        <v>0.51</v>
      </c>
      <c r="P62">
        <v>7.0000000000000007E-2</v>
      </c>
      <c r="Q62">
        <v>0.61799999999999999</v>
      </c>
    </row>
    <row r="63" spans="1:17" ht="15.75" customHeight="1" x14ac:dyDescent="0.15">
      <c r="A63" s="26">
        <v>45423</v>
      </c>
      <c r="B63" s="1" t="s">
        <v>125</v>
      </c>
      <c r="C63">
        <v>37.19755</v>
      </c>
      <c r="D63">
        <v>-80.563779999999994</v>
      </c>
      <c r="E63" t="str">
        <f t="shared" si="5"/>
        <v>37.19755 N, -80.56378 W</v>
      </c>
      <c r="F63" s="18">
        <v>0.53333333333333333</v>
      </c>
      <c r="G63">
        <v>17.7</v>
      </c>
      <c r="H63">
        <v>714.8</v>
      </c>
      <c r="I63">
        <v>97.9</v>
      </c>
      <c r="J63">
        <v>9.33</v>
      </c>
      <c r="K63">
        <v>108.9</v>
      </c>
      <c r="L63">
        <v>71</v>
      </c>
      <c r="M63">
        <v>2.36</v>
      </c>
      <c r="N63">
        <v>0.3</v>
      </c>
      <c r="O63">
        <v>0.1</v>
      </c>
      <c r="P63">
        <v>-0.01</v>
      </c>
      <c r="Q63">
        <v>0.51100000000000001</v>
      </c>
    </row>
    <row r="64" spans="1:17" ht="15.75" customHeight="1" x14ac:dyDescent="0.15">
      <c r="A64" s="26">
        <v>45423</v>
      </c>
      <c r="B64" s="1" t="s">
        <v>126</v>
      </c>
      <c r="C64">
        <v>37.198070000000001</v>
      </c>
      <c r="D64">
        <v>-80.564570000000003</v>
      </c>
      <c r="E64" t="str">
        <f t="shared" si="5"/>
        <v>37.19807 N, -80.56457 W</v>
      </c>
      <c r="F64" s="18">
        <v>0.53611111111111109</v>
      </c>
      <c r="G64">
        <v>17.3</v>
      </c>
      <c r="H64">
        <v>714.8</v>
      </c>
      <c r="I64">
        <v>96.1</v>
      </c>
      <c r="J64">
        <v>9.24</v>
      </c>
      <c r="K64">
        <v>110</v>
      </c>
      <c r="L64">
        <v>72</v>
      </c>
      <c r="M64">
        <v>1.96</v>
      </c>
      <c r="N64">
        <v>0.57999999999999996</v>
      </c>
      <c r="O64">
        <v>0.22</v>
      </c>
      <c r="P64">
        <v>0.03</v>
      </c>
      <c r="Q64">
        <v>1.073</v>
      </c>
    </row>
    <row r="65" spans="1:17" ht="15.75" customHeight="1" x14ac:dyDescent="0.15">
      <c r="A65" s="26">
        <v>45423</v>
      </c>
      <c r="B65" s="1" t="s">
        <v>127</v>
      </c>
      <c r="C65">
        <v>37.198329999999999</v>
      </c>
      <c r="D65">
        <v>-80.565039999999996</v>
      </c>
      <c r="E65" t="str">
        <f t="shared" si="5"/>
        <v>37.19833 N, -80.56504 W</v>
      </c>
      <c r="F65" s="18">
        <v>0.53749999999999998</v>
      </c>
      <c r="G65">
        <v>17.3</v>
      </c>
      <c r="H65">
        <v>714.8</v>
      </c>
      <c r="I65">
        <v>95.5</v>
      </c>
      <c r="J65">
        <v>9.18</v>
      </c>
      <c r="K65">
        <v>111.7</v>
      </c>
      <c r="L65">
        <v>73</v>
      </c>
      <c r="M65">
        <v>1.5</v>
      </c>
      <c r="N65">
        <v>0.52</v>
      </c>
      <c r="O65">
        <v>0.2</v>
      </c>
      <c r="P65">
        <v>-0.02</v>
      </c>
      <c r="Q65">
        <v>0.9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M105"/>
  <sheetViews>
    <sheetView tabSelected="1" topLeftCell="A82" workbookViewId="0">
      <pane xSplit="6" topLeftCell="G1" activePane="topRight" state="frozen"/>
      <selection pane="topRight" activeCell="I107" sqref="I107"/>
    </sheetView>
  </sheetViews>
  <sheetFormatPr baseColWidth="10" defaultColWidth="12.5" defaultRowHeight="15.75" customHeight="1" x14ac:dyDescent="0.15"/>
  <cols>
    <col min="1" max="1" width="10.5" bestFit="1" customWidth="1"/>
    <col min="2" max="2" width="17" customWidth="1"/>
    <col min="5" max="5" width="12.83203125" customWidth="1"/>
  </cols>
  <sheetData>
    <row r="1" spans="1:39" ht="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227</v>
      </c>
      <c r="K1" s="1" t="s">
        <v>228</v>
      </c>
      <c r="L1" s="1" t="s">
        <v>229</v>
      </c>
      <c r="M1" s="1" t="s">
        <v>230</v>
      </c>
      <c r="N1" s="1" t="s">
        <v>231</v>
      </c>
      <c r="O1" s="1" t="s">
        <v>232</v>
      </c>
      <c r="P1" s="1" t="s">
        <v>233</v>
      </c>
      <c r="Q1" s="1" t="s">
        <v>234</v>
      </c>
      <c r="R1" s="1" t="s">
        <v>235</v>
      </c>
      <c r="S1" s="1" t="s">
        <v>236</v>
      </c>
      <c r="T1" s="1" t="s">
        <v>237</v>
      </c>
      <c r="U1" s="1" t="s">
        <v>238</v>
      </c>
      <c r="V1" s="1" t="s">
        <v>239</v>
      </c>
      <c r="W1" s="1" t="s">
        <v>240</v>
      </c>
      <c r="X1" s="1" t="s">
        <v>241</v>
      </c>
      <c r="Y1" s="1" t="s">
        <v>242</v>
      </c>
      <c r="Z1" s="1" t="s">
        <v>243</v>
      </c>
      <c r="AA1" s="1" t="s">
        <v>244</v>
      </c>
      <c r="AB1" s="1" t="s">
        <v>245</v>
      </c>
      <c r="AC1" s="1" t="s">
        <v>246</v>
      </c>
      <c r="AD1" t="s">
        <v>247</v>
      </c>
      <c r="AE1" t="s">
        <v>248</v>
      </c>
      <c r="AF1" s="1" t="s">
        <v>249</v>
      </c>
      <c r="AM1" s="25"/>
    </row>
    <row r="2" spans="1:39" ht="13" x14ac:dyDescent="0.15">
      <c r="A2" s="2">
        <v>45221</v>
      </c>
      <c r="B2" s="1" t="s">
        <v>5</v>
      </c>
      <c r="C2" s="3" t="str">
        <f t="shared" ref="C2:C33" si="0">LEFT(E2, 8)</f>
        <v>37.19749</v>
      </c>
      <c r="D2" s="3">
        <f t="shared" ref="D2:D33" si="1">MID(E2, 13, 8) *-1</f>
        <v>-80.56371</v>
      </c>
      <c r="E2" s="1" t="s">
        <v>6</v>
      </c>
      <c r="F2" s="13">
        <v>0.11041666666666666</v>
      </c>
      <c r="G2" s="1">
        <v>15.4</v>
      </c>
      <c r="H2" s="1">
        <v>718</v>
      </c>
      <c r="I2" s="1">
        <v>96.1</v>
      </c>
      <c r="J2" s="1">
        <v>9.59</v>
      </c>
      <c r="K2" s="1">
        <v>156</v>
      </c>
      <c r="L2" s="1">
        <v>101</v>
      </c>
      <c r="M2" s="1">
        <v>1.28</v>
      </c>
      <c r="N2" s="1"/>
      <c r="O2" s="1">
        <v>0.34</v>
      </c>
      <c r="P2" s="1">
        <v>0.01</v>
      </c>
      <c r="Q2" s="1">
        <v>0.315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20">
        <v>1130</v>
      </c>
      <c r="AE2" s="27">
        <f t="shared" ref="AE2:AE33" si="2">AVERAGE(M2, Y2)</f>
        <v>1.28</v>
      </c>
      <c r="AF2">
        <v>1.4</v>
      </c>
      <c r="AM2" s="1"/>
    </row>
    <row r="3" spans="1:39" ht="13" x14ac:dyDescent="0.15">
      <c r="A3" s="2">
        <v>45221</v>
      </c>
      <c r="B3" s="1" t="s">
        <v>7</v>
      </c>
      <c r="C3" s="3" t="str">
        <f t="shared" si="0"/>
        <v>37.19802</v>
      </c>
      <c r="D3" s="3">
        <f t="shared" si="1"/>
        <v>-80.564279999999997</v>
      </c>
      <c r="E3" s="1" t="s">
        <v>8</v>
      </c>
      <c r="F3" s="13">
        <v>0.1076388888888889</v>
      </c>
      <c r="G3" s="1">
        <v>16.399999999999999</v>
      </c>
      <c r="H3" s="1">
        <v>718</v>
      </c>
      <c r="I3" s="1">
        <v>97.8</v>
      </c>
      <c r="J3" s="1">
        <v>9.57</v>
      </c>
      <c r="K3" s="1">
        <v>141.19999999999999</v>
      </c>
      <c r="L3" s="1">
        <v>92</v>
      </c>
      <c r="M3" s="1">
        <v>0.72</v>
      </c>
      <c r="N3" s="1"/>
      <c r="O3" s="1">
        <v>0.39</v>
      </c>
      <c r="P3" s="1">
        <v>0.08</v>
      </c>
      <c r="Q3" s="1">
        <v>0.34300000000000003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20">
        <v>1140</v>
      </c>
      <c r="AE3" s="27">
        <f t="shared" si="2"/>
        <v>0.72</v>
      </c>
      <c r="AF3">
        <v>1.4</v>
      </c>
      <c r="AM3" s="1"/>
    </row>
    <row r="4" spans="1:39" ht="13" x14ac:dyDescent="0.15">
      <c r="A4" s="4">
        <v>45221</v>
      </c>
      <c r="B4" s="1" t="s">
        <v>9</v>
      </c>
      <c r="C4" s="3" t="str">
        <f t="shared" si="0"/>
        <v>37.19819</v>
      </c>
      <c r="D4" s="3">
        <f t="shared" si="1"/>
        <v>-80.565200000000004</v>
      </c>
      <c r="E4" s="1" t="s">
        <v>10</v>
      </c>
      <c r="F4" s="13">
        <v>0.11805555555555555</v>
      </c>
      <c r="G4" s="1">
        <v>16.399999999999999</v>
      </c>
      <c r="H4" s="1">
        <v>718</v>
      </c>
      <c r="I4" s="1">
        <v>98.5</v>
      </c>
      <c r="J4" s="1">
        <v>9.6300000000000008</v>
      </c>
      <c r="K4" s="1">
        <v>143.6</v>
      </c>
      <c r="L4" s="1">
        <v>93</v>
      </c>
      <c r="M4" s="1">
        <v>0.67</v>
      </c>
      <c r="N4" s="1"/>
      <c r="O4" s="1">
        <v>0.51</v>
      </c>
      <c r="P4" s="1">
        <v>0.02</v>
      </c>
      <c r="Q4" s="1">
        <v>0.36699999999999999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20">
        <v>1120</v>
      </c>
      <c r="AE4" s="27">
        <f t="shared" si="2"/>
        <v>0.67</v>
      </c>
      <c r="AF4">
        <v>1.4</v>
      </c>
      <c r="AM4" s="1"/>
    </row>
    <row r="5" spans="1:39" ht="13" x14ac:dyDescent="0.15">
      <c r="A5" s="2">
        <v>45238</v>
      </c>
      <c r="B5" s="1" t="s">
        <v>11</v>
      </c>
      <c r="C5" s="10" t="str">
        <f t="shared" si="0"/>
        <v>37.19742</v>
      </c>
      <c r="D5" s="3">
        <f t="shared" si="1"/>
        <v>-80.563929999999999</v>
      </c>
      <c r="E5" s="1" t="s">
        <v>12</v>
      </c>
      <c r="F5" s="13">
        <v>0.22569444444444445</v>
      </c>
      <c r="G5" s="1">
        <v>16.600000000000001</v>
      </c>
      <c r="H5" s="1">
        <v>717.9</v>
      </c>
      <c r="I5" s="1">
        <v>105.8</v>
      </c>
      <c r="J5" s="1">
        <v>10.34</v>
      </c>
      <c r="K5" s="1">
        <v>187</v>
      </c>
      <c r="L5" s="1">
        <v>122</v>
      </c>
      <c r="M5" s="1">
        <v>0.57999999999999996</v>
      </c>
      <c r="N5" s="1"/>
      <c r="O5" s="1">
        <v>0.28999999999999998</v>
      </c>
      <c r="P5" s="1">
        <v>0.02</v>
      </c>
      <c r="Q5" s="1">
        <v>0.27500000000000002</v>
      </c>
      <c r="R5" s="13">
        <v>0.22708333333333333</v>
      </c>
      <c r="S5" s="1">
        <v>16.5</v>
      </c>
      <c r="T5" s="1">
        <v>717.9</v>
      </c>
      <c r="U5" s="1">
        <v>107.3</v>
      </c>
      <c r="V5" s="1">
        <v>10.47</v>
      </c>
      <c r="W5" s="1">
        <v>197.7</v>
      </c>
      <c r="X5" s="1">
        <v>129</v>
      </c>
      <c r="Y5" s="1">
        <v>0.9</v>
      </c>
      <c r="Z5" s="1"/>
      <c r="AA5" s="1">
        <v>0.3</v>
      </c>
      <c r="AB5" s="1">
        <v>0.03</v>
      </c>
      <c r="AC5" s="1">
        <v>0.58599999999999997</v>
      </c>
      <c r="AD5" s="20">
        <v>1120</v>
      </c>
      <c r="AE5" s="27">
        <f t="shared" si="2"/>
        <v>0.74</v>
      </c>
      <c r="AF5" s="1">
        <v>1.28</v>
      </c>
      <c r="AH5" s="25"/>
      <c r="AI5" s="25"/>
      <c r="AM5" s="1"/>
    </row>
    <row r="6" spans="1:39" ht="13" x14ac:dyDescent="0.15">
      <c r="A6" s="2">
        <v>45238</v>
      </c>
      <c r="B6" s="1" t="s">
        <v>13</v>
      </c>
      <c r="C6" s="10" t="str">
        <f t="shared" si="0"/>
        <v>37.19883</v>
      </c>
      <c r="D6" s="3">
        <f t="shared" si="1"/>
        <v>-80.56541</v>
      </c>
      <c r="E6" s="5" t="s">
        <v>222</v>
      </c>
      <c r="F6" s="13">
        <v>0.2326388888888889</v>
      </c>
      <c r="G6" s="1">
        <v>16</v>
      </c>
      <c r="H6" s="1">
        <v>718</v>
      </c>
      <c r="I6" s="1">
        <v>105.1</v>
      </c>
      <c r="J6" s="1">
        <v>10.36</v>
      </c>
      <c r="K6" s="1">
        <v>157.4</v>
      </c>
      <c r="L6" s="1">
        <v>102</v>
      </c>
      <c r="M6" s="1">
        <v>0.56000000000000005</v>
      </c>
      <c r="N6" s="1"/>
      <c r="O6" s="1">
        <v>0.38</v>
      </c>
      <c r="P6" s="1">
        <v>7.0000000000000007E-2</v>
      </c>
      <c r="Q6" s="1">
        <v>0.33</v>
      </c>
      <c r="R6" s="13">
        <v>0.23402777777777778</v>
      </c>
      <c r="S6" s="1">
        <v>16</v>
      </c>
      <c r="T6" s="1">
        <v>718</v>
      </c>
      <c r="U6" s="1">
        <v>105.1</v>
      </c>
      <c r="V6" s="1">
        <v>10.36</v>
      </c>
      <c r="W6" s="1">
        <v>157.1</v>
      </c>
      <c r="X6" s="1">
        <v>102</v>
      </c>
      <c r="Y6" s="1">
        <v>4.28</v>
      </c>
      <c r="Z6" s="1"/>
      <c r="AA6" s="1">
        <v>1.57</v>
      </c>
      <c r="AB6" s="1">
        <v>0.32</v>
      </c>
      <c r="AC6" s="1">
        <v>0.76800000000000002</v>
      </c>
      <c r="AD6" s="20">
        <v>1120</v>
      </c>
      <c r="AE6" s="27">
        <f t="shared" si="2"/>
        <v>2.42</v>
      </c>
      <c r="AF6" s="1">
        <v>1.28</v>
      </c>
      <c r="AH6" s="25"/>
      <c r="AM6" s="1"/>
    </row>
    <row r="7" spans="1:39" ht="13" x14ac:dyDescent="0.15">
      <c r="A7" s="2">
        <v>45238</v>
      </c>
      <c r="B7" s="1" t="s">
        <v>15</v>
      </c>
      <c r="C7" s="10" t="str">
        <f t="shared" si="0"/>
        <v>37.19832</v>
      </c>
      <c r="D7" s="3">
        <f t="shared" si="1"/>
        <v>-80.56523</v>
      </c>
      <c r="E7" s="1" t="s">
        <v>16</v>
      </c>
      <c r="F7" s="13">
        <v>0.23680555555555555</v>
      </c>
      <c r="G7" s="1">
        <v>16.100000000000001</v>
      </c>
      <c r="H7" s="1">
        <v>718</v>
      </c>
      <c r="I7" s="1">
        <v>104.1</v>
      </c>
      <c r="J7" s="1">
        <v>10.26</v>
      </c>
      <c r="K7" s="1">
        <v>154.5</v>
      </c>
      <c r="L7" s="1">
        <v>100</v>
      </c>
      <c r="M7" s="1">
        <v>0.56999999999999995</v>
      </c>
      <c r="N7" s="1"/>
      <c r="O7" s="1">
        <v>0.4</v>
      </c>
      <c r="P7" s="1">
        <v>0.05</v>
      </c>
      <c r="Q7" s="1">
        <v>0.35599999999999998</v>
      </c>
      <c r="R7" s="13">
        <v>0.23819444444444443</v>
      </c>
      <c r="S7" s="1">
        <v>16.100000000000001</v>
      </c>
      <c r="T7" s="1">
        <v>718</v>
      </c>
      <c r="U7" s="1">
        <v>105</v>
      </c>
      <c r="V7" s="1">
        <v>10.33</v>
      </c>
      <c r="W7" s="1">
        <v>155.1</v>
      </c>
      <c r="X7" s="1">
        <v>101</v>
      </c>
      <c r="Y7" s="1">
        <v>0.61</v>
      </c>
      <c r="Z7" s="1"/>
      <c r="AA7" s="1">
        <v>0.41</v>
      </c>
      <c r="AB7" s="1">
        <v>0.04</v>
      </c>
      <c r="AC7" s="1">
        <v>0.80800000000000005</v>
      </c>
      <c r="AD7" s="20">
        <v>1120</v>
      </c>
      <c r="AE7" s="27">
        <f t="shared" si="2"/>
        <v>0.59</v>
      </c>
      <c r="AF7" s="1">
        <v>1.28</v>
      </c>
      <c r="AH7" s="25"/>
      <c r="AM7" s="1"/>
    </row>
    <row r="8" spans="1:39" ht="13" x14ac:dyDescent="0.15">
      <c r="A8" s="2">
        <v>45241</v>
      </c>
      <c r="B8" s="1" t="s">
        <v>17</v>
      </c>
      <c r="C8" s="10" t="str">
        <f t="shared" si="0"/>
        <v>37.19739</v>
      </c>
      <c r="D8" s="3">
        <f t="shared" si="1"/>
        <v>-80.563950000000006</v>
      </c>
      <c r="E8" s="1" t="s">
        <v>18</v>
      </c>
      <c r="F8" s="13">
        <v>0.53125</v>
      </c>
      <c r="G8" s="1">
        <v>13.9</v>
      </c>
      <c r="H8" s="1">
        <v>726.6</v>
      </c>
      <c r="I8" s="1">
        <v>95.7</v>
      </c>
      <c r="J8" s="1">
        <v>9.8699999999999992</v>
      </c>
      <c r="K8" s="1">
        <v>174.5</v>
      </c>
      <c r="L8" s="1">
        <v>113</v>
      </c>
      <c r="M8" s="1">
        <v>0.53</v>
      </c>
      <c r="N8" s="1"/>
      <c r="O8" s="1">
        <v>0.24</v>
      </c>
      <c r="P8" s="1">
        <v>0.01</v>
      </c>
      <c r="Q8" s="1">
        <v>0.27800000000000002</v>
      </c>
      <c r="R8" s="13">
        <v>0.53263888888888888</v>
      </c>
      <c r="S8" s="1">
        <v>13.8</v>
      </c>
      <c r="T8" s="1">
        <v>726.6</v>
      </c>
      <c r="U8" s="1">
        <v>95.8</v>
      </c>
      <c r="V8" s="1">
        <v>9.91</v>
      </c>
      <c r="W8" s="1">
        <v>179.2</v>
      </c>
      <c r="X8" s="1">
        <v>117</v>
      </c>
      <c r="Y8" s="1">
        <v>0.62</v>
      </c>
      <c r="Z8" s="1"/>
      <c r="AA8" s="1">
        <v>0.31</v>
      </c>
      <c r="AB8" s="1">
        <v>0.03</v>
      </c>
      <c r="AC8" s="1">
        <v>0.76</v>
      </c>
      <c r="AD8" s="20">
        <v>1140</v>
      </c>
      <c r="AE8" s="27">
        <f t="shared" si="2"/>
        <v>0.57499999999999996</v>
      </c>
      <c r="AF8" s="1">
        <v>1.28</v>
      </c>
      <c r="AM8" s="1"/>
    </row>
    <row r="9" spans="1:39" ht="13" x14ac:dyDescent="0.15">
      <c r="A9" s="2">
        <v>45241</v>
      </c>
      <c r="B9" s="1" t="s">
        <v>19</v>
      </c>
      <c r="C9" s="10" t="str">
        <f t="shared" si="0"/>
        <v>37.19806</v>
      </c>
      <c r="D9" s="3">
        <f t="shared" si="1"/>
        <v>-80.564549999999997</v>
      </c>
      <c r="E9" s="1" t="s">
        <v>20</v>
      </c>
      <c r="F9" s="13">
        <v>0.53749999999999998</v>
      </c>
      <c r="G9" s="1">
        <v>14.4</v>
      </c>
      <c r="H9" s="1">
        <v>726.6</v>
      </c>
      <c r="I9" s="1">
        <v>93.9</v>
      </c>
      <c r="J9" s="1">
        <v>9.59</v>
      </c>
      <c r="K9" s="1">
        <v>159.69999999999999</v>
      </c>
      <c r="L9" s="1">
        <v>104</v>
      </c>
      <c r="M9" s="1">
        <v>0.55000000000000004</v>
      </c>
      <c r="N9" s="1"/>
      <c r="O9" s="1">
        <v>0.35</v>
      </c>
      <c r="P9" s="1">
        <v>0.04</v>
      </c>
      <c r="Q9" s="1">
        <v>0.35199999999999998</v>
      </c>
      <c r="R9" s="13">
        <v>0.53819444444444442</v>
      </c>
      <c r="S9" s="1">
        <v>14.4</v>
      </c>
      <c r="T9" s="1">
        <v>726.6</v>
      </c>
      <c r="U9" s="1">
        <v>94.1</v>
      </c>
      <c r="V9" s="1">
        <v>9.61</v>
      </c>
      <c r="W9" s="1">
        <v>159.6</v>
      </c>
      <c r="X9" s="1">
        <v>104</v>
      </c>
      <c r="Y9" s="1">
        <v>0.53</v>
      </c>
      <c r="Z9" s="1"/>
      <c r="AA9" s="1">
        <v>0.33</v>
      </c>
      <c r="AB9" s="1">
        <v>0.04</v>
      </c>
      <c r="AC9" s="1">
        <v>1.1870000000000001</v>
      </c>
      <c r="AD9" s="20">
        <v>1140</v>
      </c>
      <c r="AE9" s="27">
        <f t="shared" si="2"/>
        <v>0.54</v>
      </c>
      <c r="AF9" s="1">
        <v>1.28</v>
      </c>
      <c r="AM9" s="1"/>
    </row>
    <row r="10" spans="1:39" ht="13" x14ac:dyDescent="0.15">
      <c r="A10" s="2">
        <v>45241</v>
      </c>
      <c r="B10" s="1" t="s">
        <v>21</v>
      </c>
      <c r="C10" s="10" t="str">
        <f t="shared" si="0"/>
        <v>37.19818</v>
      </c>
      <c r="D10" s="3">
        <f t="shared" si="1"/>
        <v>-80.564949999999996</v>
      </c>
      <c r="E10" s="1" t="s">
        <v>22</v>
      </c>
      <c r="F10" s="13">
        <v>0.54097222222222219</v>
      </c>
      <c r="G10" s="1">
        <v>14.5</v>
      </c>
      <c r="H10" s="1">
        <v>726.5</v>
      </c>
      <c r="I10" s="1">
        <v>95.5</v>
      </c>
      <c r="J10" s="1">
        <v>9.7200000000000006</v>
      </c>
      <c r="K10" s="1">
        <v>161.19999999999999</v>
      </c>
      <c r="L10" s="1">
        <v>105</v>
      </c>
      <c r="M10" s="1">
        <v>0.53</v>
      </c>
      <c r="N10" s="1"/>
      <c r="O10" s="1">
        <v>0.34</v>
      </c>
      <c r="P10" s="1">
        <v>0.05</v>
      </c>
      <c r="Q10" s="1">
        <v>0.48</v>
      </c>
      <c r="R10" s="13">
        <v>4.2361111111111113E-2</v>
      </c>
      <c r="S10" s="1">
        <v>14.5</v>
      </c>
      <c r="T10" s="1">
        <v>726.5</v>
      </c>
      <c r="U10" s="1">
        <v>95.6</v>
      </c>
      <c r="V10" s="1">
        <v>9.73</v>
      </c>
      <c r="W10" s="1">
        <v>161.19999999999999</v>
      </c>
      <c r="X10" s="1">
        <v>105</v>
      </c>
      <c r="Y10" s="1">
        <v>0.5</v>
      </c>
      <c r="Z10" s="1"/>
      <c r="AA10" s="1">
        <v>0.36</v>
      </c>
      <c r="AB10" s="1">
        <v>0.03</v>
      </c>
      <c r="AC10" s="1">
        <v>1.071</v>
      </c>
      <c r="AD10" s="21">
        <v>1140</v>
      </c>
      <c r="AE10" s="27">
        <f t="shared" si="2"/>
        <v>0.51500000000000001</v>
      </c>
      <c r="AF10" s="1">
        <v>1.28</v>
      </c>
      <c r="AM10" s="1"/>
    </row>
    <row r="11" spans="1:39" ht="13" x14ac:dyDescent="0.15">
      <c r="A11" s="2">
        <v>45263</v>
      </c>
      <c r="B11" s="1" t="s">
        <v>23</v>
      </c>
      <c r="C11" s="10" t="str">
        <f t="shared" si="0"/>
        <v>37.19794</v>
      </c>
      <c r="D11" s="3">
        <f t="shared" si="1"/>
        <v>-80.564210000000003</v>
      </c>
      <c r="E11" s="5" t="s">
        <v>26</v>
      </c>
      <c r="F11" s="13">
        <v>0.51736111111111116</v>
      </c>
      <c r="G11" s="1">
        <v>11.6</v>
      </c>
      <c r="H11" s="1">
        <v>713.1</v>
      </c>
      <c r="I11" s="1">
        <v>91.6</v>
      </c>
      <c r="J11" s="1">
        <v>9.9600000000000009</v>
      </c>
      <c r="K11" s="1">
        <v>198.8</v>
      </c>
      <c r="L11" s="1">
        <v>129</v>
      </c>
      <c r="M11" s="1">
        <v>0.83</v>
      </c>
      <c r="N11" s="1"/>
      <c r="O11" s="1">
        <v>0.25</v>
      </c>
      <c r="P11" s="1">
        <v>0.03</v>
      </c>
      <c r="Q11" s="16">
        <v>0.13</v>
      </c>
      <c r="R11" s="13">
        <v>0.51597222222222228</v>
      </c>
      <c r="S11" s="1">
        <v>11.6</v>
      </c>
      <c r="T11" s="1">
        <v>713.1</v>
      </c>
      <c r="U11" s="1">
        <v>92.2</v>
      </c>
      <c r="V11" s="1">
        <v>10</v>
      </c>
      <c r="W11" s="1">
        <v>207.8</v>
      </c>
      <c r="X11" s="1">
        <v>135</v>
      </c>
      <c r="Y11" s="1">
        <v>1.89</v>
      </c>
      <c r="Z11" s="1"/>
      <c r="AA11" s="1">
        <v>0.28000000000000003</v>
      </c>
      <c r="AB11" s="1">
        <v>0.02</v>
      </c>
      <c r="AC11" s="1">
        <v>0.52900000000000003</v>
      </c>
      <c r="AD11" s="20">
        <v>1360</v>
      </c>
      <c r="AE11" s="27">
        <f t="shared" si="2"/>
        <v>1.3599999999999999</v>
      </c>
      <c r="AF11" s="1">
        <v>1.42</v>
      </c>
      <c r="AM11" s="1"/>
    </row>
    <row r="12" spans="1:39" ht="13" x14ac:dyDescent="0.15">
      <c r="A12" s="2">
        <v>45263</v>
      </c>
      <c r="B12" s="1" t="s">
        <v>25</v>
      </c>
      <c r="C12" s="10" t="str">
        <f t="shared" si="0"/>
        <v>37.19794</v>
      </c>
      <c r="D12" s="3">
        <f t="shared" si="1"/>
        <v>-80.564210000000003</v>
      </c>
      <c r="E12" s="1" t="s">
        <v>26</v>
      </c>
      <c r="F12" s="13">
        <v>0.51875000000000004</v>
      </c>
      <c r="G12" s="1">
        <v>11.3</v>
      </c>
      <c r="H12" s="1">
        <v>713.2</v>
      </c>
      <c r="I12" s="1">
        <v>94.4</v>
      </c>
      <c r="J12" s="1">
        <v>10.33</v>
      </c>
      <c r="K12" s="1">
        <v>160.9</v>
      </c>
      <c r="L12" s="1">
        <v>105</v>
      </c>
      <c r="M12" s="1">
        <v>0.77</v>
      </c>
      <c r="N12" s="1"/>
      <c r="O12" s="1">
        <v>0.34</v>
      </c>
      <c r="P12" s="1">
        <v>0.02</v>
      </c>
      <c r="Q12" s="1">
        <v>0.106</v>
      </c>
      <c r="R12" s="13">
        <v>0.52013888888888893</v>
      </c>
      <c r="S12" s="1">
        <v>11.3</v>
      </c>
      <c r="T12" s="1">
        <v>713.2</v>
      </c>
      <c r="U12" s="1">
        <v>94.5</v>
      </c>
      <c r="V12" s="1">
        <v>10.34</v>
      </c>
      <c r="W12" s="1">
        <v>160.69999999999999</v>
      </c>
      <c r="X12" s="1">
        <v>104</v>
      </c>
      <c r="Y12" s="1">
        <v>0.74</v>
      </c>
      <c r="Z12" s="1"/>
      <c r="AA12" s="1">
        <v>0.32</v>
      </c>
      <c r="AB12" s="1">
        <v>0.03</v>
      </c>
      <c r="AC12" s="1">
        <v>0.47299999999999998</v>
      </c>
      <c r="AD12" s="21">
        <v>1360</v>
      </c>
      <c r="AE12" s="27">
        <f t="shared" si="2"/>
        <v>0.755</v>
      </c>
      <c r="AF12" s="1">
        <v>1.42</v>
      </c>
      <c r="AM12" s="1"/>
    </row>
    <row r="13" spans="1:39" ht="13" x14ac:dyDescent="0.15">
      <c r="A13" s="2">
        <v>45263</v>
      </c>
      <c r="B13" s="1" t="s">
        <v>27</v>
      </c>
      <c r="C13" s="10" t="str">
        <f t="shared" si="0"/>
        <v>37.19862</v>
      </c>
      <c r="D13" s="3">
        <f t="shared" si="1"/>
        <v>-80.564840000000004</v>
      </c>
      <c r="E13" s="1" t="s">
        <v>28</v>
      </c>
      <c r="F13" s="13">
        <v>0.52708333333333335</v>
      </c>
      <c r="G13" s="1">
        <v>11.2</v>
      </c>
      <c r="H13" s="1">
        <v>713.1</v>
      </c>
      <c r="I13" s="1">
        <v>93.1</v>
      </c>
      <c r="J13" s="1">
        <v>10.18</v>
      </c>
      <c r="K13" s="1">
        <v>164.4</v>
      </c>
      <c r="L13" s="1">
        <v>107</v>
      </c>
      <c r="M13" s="1">
        <v>0.79</v>
      </c>
      <c r="N13" s="1"/>
      <c r="O13" s="1">
        <v>0.26</v>
      </c>
      <c r="P13" s="1">
        <v>0.03</v>
      </c>
      <c r="Q13" s="1">
        <v>0.11700000000000001</v>
      </c>
      <c r="R13" s="13">
        <v>0.53055555555555556</v>
      </c>
      <c r="S13" s="1">
        <v>10.9</v>
      </c>
      <c r="T13" s="1">
        <v>713.1</v>
      </c>
      <c r="U13" s="1">
        <v>92.1</v>
      </c>
      <c r="V13" s="1">
        <v>10.26</v>
      </c>
      <c r="W13" s="1">
        <v>275.89999999999998</v>
      </c>
      <c r="X13" s="1">
        <v>180</v>
      </c>
      <c r="Y13" s="1">
        <v>1.01</v>
      </c>
      <c r="Z13" s="1"/>
      <c r="AA13" s="1">
        <v>0.38</v>
      </c>
      <c r="AB13" s="1">
        <v>0.02</v>
      </c>
      <c r="AC13" s="1">
        <v>0.51700000000000002</v>
      </c>
      <c r="AD13" s="21">
        <v>1345</v>
      </c>
      <c r="AE13" s="27">
        <f t="shared" si="2"/>
        <v>0.9</v>
      </c>
      <c r="AF13" s="1">
        <v>1.42</v>
      </c>
      <c r="AM13" s="1"/>
    </row>
    <row r="14" spans="1:39" ht="13" x14ac:dyDescent="0.15">
      <c r="A14" s="2">
        <v>45265</v>
      </c>
      <c r="B14" s="1" t="s">
        <v>29</v>
      </c>
      <c r="C14" s="10" t="str">
        <f t="shared" si="0"/>
        <v>37.19731</v>
      </c>
      <c r="D14" s="3">
        <f t="shared" si="1"/>
        <v>-80.563890000000001</v>
      </c>
      <c r="E14" s="1" t="s">
        <v>30</v>
      </c>
      <c r="F14" s="13">
        <v>0.42499999999999999</v>
      </c>
      <c r="G14" s="1">
        <v>9.5</v>
      </c>
      <c r="H14" s="1">
        <v>720.5</v>
      </c>
      <c r="I14" s="1">
        <v>83.1</v>
      </c>
      <c r="J14" s="1">
        <v>9.48</v>
      </c>
      <c r="K14" s="1">
        <v>188.6</v>
      </c>
      <c r="L14" s="1">
        <v>123</v>
      </c>
      <c r="M14" s="1">
        <v>4.33</v>
      </c>
      <c r="N14" s="1"/>
      <c r="O14" s="1">
        <v>0.19</v>
      </c>
      <c r="P14" s="1">
        <v>-0.01</v>
      </c>
      <c r="Q14" s="1">
        <v>0.17599999999999999</v>
      </c>
      <c r="R14" s="13">
        <v>0.42638888888888887</v>
      </c>
      <c r="S14" s="1">
        <v>8.9</v>
      </c>
      <c r="T14" s="1">
        <v>720.5</v>
      </c>
      <c r="U14" s="1">
        <v>83.6</v>
      </c>
      <c r="V14" s="1">
        <v>9.68</v>
      </c>
      <c r="W14" s="1">
        <v>193</v>
      </c>
      <c r="X14" s="1">
        <v>125</v>
      </c>
      <c r="Y14" s="1">
        <v>5.05</v>
      </c>
      <c r="Z14" s="1"/>
      <c r="AA14" s="1">
        <v>0.23</v>
      </c>
      <c r="AB14" s="1">
        <v>0.01</v>
      </c>
      <c r="AC14" s="1">
        <v>0.501</v>
      </c>
      <c r="AD14" s="20">
        <v>2160</v>
      </c>
      <c r="AE14" s="27">
        <f t="shared" si="2"/>
        <v>4.6899999999999995</v>
      </c>
      <c r="AF14" s="1">
        <v>1.62</v>
      </c>
      <c r="AM14" s="1"/>
    </row>
    <row r="15" spans="1:39" ht="13" x14ac:dyDescent="0.15">
      <c r="A15" s="2">
        <v>45265</v>
      </c>
      <c r="B15" s="1" t="s">
        <v>31</v>
      </c>
      <c r="C15" s="10" t="str">
        <f t="shared" si="0"/>
        <v>37.19785</v>
      </c>
      <c r="D15" s="3">
        <f t="shared" si="1"/>
        <v>-80.564769999999996</v>
      </c>
      <c r="E15" s="1" t="s">
        <v>32</v>
      </c>
      <c r="F15" s="13">
        <v>0.43125000000000002</v>
      </c>
      <c r="G15" s="1">
        <v>9.3000000000000007</v>
      </c>
      <c r="H15" s="1">
        <v>720.6</v>
      </c>
      <c r="I15" s="1">
        <v>90.7</v>
      </c>
      <c r="J15" s="1">
        <v>10.41</v>
      </c>
      <c r="K15" s="1">
        <v>158.4</v>
      </c>
      <c r="L15" s="1">
        <v>103</v>
      </c>
      <c r="M15" s="1">
        <v>0.91</v>
      </c>
      <c r="N15" s="1"/>
      <c r="O15" s="1">
        <v>0.35</v>
      </c>
      <c r="P15" s="1">
        <v>0.06</v>
      </c>
      <c r="Q15" s="1">
        <v>0.35099999999999998</v>
      </c>
      <c r="R15" s="13">
        <v>0.43194444444444446</v>
      </c>
      <c r="S15" s="1">
        <v>9.3000000000000007</v>
      </c>
      <c r="T15" s="1">
        <v>720.6</v>
      </c>
      <c r="U15" s="1">
        <v>89.2</v>
      </c>
      <c r="V15" s="1">
        <v>10.24</v>
      </c>
      <c r="W15" s="1">
        <v>158.69999999999999</v>
      </c>
      <c r="X15" s="1">
        <v>103</v>
      </c>
      <c r="Y15" s="1">
        <v>0.94</v>
      </c>
      <c r="Z15" s="1"/>
      <c r="AA15" s="1">
        <v>0.34</v>
      </c>
      <c r="AB15" s="1">
        <v>0.03</v>
      </c>
      <c r="AC15" s="1">
        <v>1.121</v>
      </c>
      <c r="AD15" s="21">
        <v>2160</v>
      </c>
      <c r="AE15" s="27">
        <f t="shared" si="2"/>
        <v>0.92500000000000004</v>
      </c>
      <c r="AF15" s="1">
        <v>1.62</v>
      </c>
      <c r="AM15" s="1"/>
    </row>
    <row r="16" spans="1:39" ht="13" x14ac:dyDescent="0.15">
      <c r="A16" s="2">
        <v>45265</v>
      </c>
      <c r="B16" s="1" t="s">
        <v>33</v>
      </c>
      <c r="C16" s="10" t="str">
        <f t="shared" si="0"/>
        <v>37.19842</v>
      </c>
      <c r="D16" s="3">
        <f t="shared" si="1"/>
        <v>-80.565100000000001</v>
      </c>
      <c r="E16" s="1" t="s">
        <v>34</v>
      </c>
      <c r="F16" s="13">
        <v>0.43541666666666667</v>
      </c>
      <c r="G16" s="1">
        <v>9.4</v>
      </c>
      <c r="H16" s="1">
        <v>720.5</v>
      </c>
      <c r="I16" s="1">
        <v>88.9</v>
      </c>
      <c r="J16" s="1">
        <v>10.18</v>
      </c>
      <c r="K16" s="1">
        <v>163.5</v>
      </c>
      <c r="L16" s="1">
        <v>106</v>
      </c>
      <c r="M16" s="1">
        <v>0.96</v>
      </c>
      <c r="N16" s="1"/>
      <c r="O16" s="1">
        <v>0.36</v>
      </c>
      <c r="P16" s="1">
        <v>7.0000000000000007E-2</v>
      </c>
      <c r="Q16" s="1">
        <v>0.32600000000000001</v>
      </c>
      <c r="R16" s="13">
        <v>0.43611111111111112</v>
      </c>
      <c r="S16" s="1">
        <v>9.4</v>
      </c>
      <c r="T16" s="1">
        <v>720.4</v>
      </c>
      <c r="U16" s="1">
        <v>88</v>
      </c>
      <c r="V16" s="1">
        <v>10.08</v>
      </c>
      <c r="W16" s="1">
        <v>163.4</v>
      </c>
      <c r="X16" s="1">
        <v>106</v>
      </c>
      <c r="Y16" s="1">
        <v>1.17</v>
      </c>
      <c r="Z16" s="1"/>
      <c r="AA16" s="1">
        <v>0.35</v>
      </c>
      <c r="AB16" s="1">
        <v>0.05</v>
      </c>
      <c r="AC16" s="1">
        <v>0.81</v>
      </c>
      <c r="AD16" s="21">
        <v>2160</v>
      </c>
      <c r="AE16" s="27">
        <f t="shared" si="2"/>
        <v>1.0649999999999999</v>
      </c>
      <c r="AF16" s="1">
        <v>1.62</v>
      </c>
      <c r="AM16" s="1"/>
    </row>
    <row r="17" spans="1:39" ht="13" x14ac:dyDescent="0.15">
      <c r="A17" s="2">
        <v>45312</v>
      </c>
      <c r="B17" s="1" t="s">
        <v>35</v>
      </c>
      <c r="C17" s="10" t="str">
        <f t="shared" si="0"/>
        <v>37.19728</v>
      </c>
      <c r="D17" s="3">
        <f t="shared" si="1"/>
        <v>-80.563900000000004</v>
      </c>
      <c r="E17" s="1" t="s">
        <v>36</v>
      </c>
      <c r="F17" s="13">
        <v>0.11319444444444444</v>
      </c>
      <c r="G17" s="1">
        <v>2.1</v>
      </c>
      <c r="H17" s="1">
        <v>730.7</v>
      </c>
      <c r="I17" s="1">
        <v>85.6</v>
      </c>
      <c r="J17" s="1">
        <v>11.8</v>
      </c>
      <c r="K17" s="1">
        <v>132.9</v>
      </c>
      <c r="L17" s="1">
        <v>86</v>
      </c>
      <c r="M17" s="1">
        <v>22.81</v>
      </c>
      <c r="N17" s="1"/>
      <c r="O17" s="1">
        <v>0.69</v>
      </c>
      <c r="P17" s="1">
        <v>0.03</v>
      </c>
      <c r="Q17" s="1">
        <v>0.38600000000000001</v>
      </c>
      <c r="R17" s="13">
        <v>0.11319444444444444</v>
      </c>
      <c r="S17" s="1">
        <v>2</v>
      </c>
      <c r="T17" s="1">
        <v>730.8</v>
      </c>
      <c r="U17" s="1">
        <v>87.5</v>
      </c>
      <c r="V17" s="1">
        <v>12.09</v>
      </c>
      <c r="W17" s="1">
        <v>138.5</v>
      </c>
      <c r="X17" s="1">
        <v>90</v>
      </c>
      <c r="Y17" s="1">
        <v>90.6</v>
      </c>
      <c r="Z17" s="1"/>
      <c r="AA17" s="1">
        <v>1</v>
      </c>
      <c r="AB17" s="1">
        <v>0.08</v>
      </c>
      <c r="AC17" s="1">
        <v>0.83499999999999996</v>
      </c>
      <c r="AD17" s="21">
        <v>1400</v>
      </c>
      <c r="AE17" s="27">
        <f t="shared" si="2"/>
        <v>56.704999999999998</v>
      </c>
      <c r="AF17" s="1">
        <v>1.83</v>
      </c>
      <c r="AM17" s="1"/>
    </row>
    <row r="18" spans="1:39" ht="13" x14ac:dyDescent="0.15">
      <c r="A18" s="2">
        <v>45312</v>
      </c>
      <c r="B18" s="1" t="s">
        <v>37</v>
      </c>
      <c r="C18" s="10" t="str">
        <f t="shared" si="0"/>
        <v>37.19783</v>
      </c>
      <c r="D18" s="3">
        <f t="shared" si="1"/>
        <v>-80.564899999999994</v>
      </c>
      <c r="E18" s="1" t="s">
        <v>38</v>
      </c>
      <c r="F18" s="13">
        <v>0.11805555555555555</v>
      </c>
      <c r="G18" s="1">
        <v>2.1</v>
      </c>
      <c r="H18" s="1">
        <v>730.8</v>
      </c>
      <c r="I18" s="1">
        <v>89.5</v>
      </c>
      <c r="J18" s="1">
        <v>12.34</v>
      </c>
      <c r="K18" s="1">
        <v>115.8</v>
      </c>
      <c r="L18" s="1">
        <v>75</v>
      </c>
      <c r="M18" s="1">
        <v>19.47</v>
      </c>
      <c r="N18" s="1"/>
      <c r="O18" s="1">
        <v>0.68</v>
      </c>
      <c r="P18" s="1">
        <v>0.08</v>
      </c>
      <c r="Q18" s="1">
        <v>0.33200000000000002</v>
      </c>
      <c r="R18" s="13">
        <v>0.11874999999999999</v>
      </c>
      <c r="S18" s="1">
        <v>2</v>
      </c>
      <c r="T18" s="1">
        <v>730.9</v>
      </c>
      <c r="U18" s="1">
        <v>90.9</v>
      </c>
      <c r="V18" s="1">
        <v>12.56</v>
      </c>
      <c r="W18" s="1">
        <v>116.5</v>
      </c>
      <c r="X18" s="1">
        <v>76</v>
      </c>
      <c r="Y18" s="1">
        <v>18.3</v>
      </c>
      <c r="Z18" s="1"/>
      <c r="AA18" s="1">
        <v>0.83</v>
      </c>
      <c r="AB18" s="1">
        <v>0.09</v>
      </c>
      <c r="AC18" s="1">
        <v>0.82199999999999995</v>
      </c>
      <c r="AD18" s="21">
        <v>1400</v>
      </c>
      <c r="AE18" s="27">
        <f t="shared" si="2"/>
        <v>18.884999999999998</v>
      </c>
      <c r="AF18" s="1">
        <v>1.83</v>
      </c>
      <c r="AM18" s="1"/>
    </row>
    <row r="19" spans="1:39" ht="13" x14ac:dyDescent="0.15">
      <c r="A19" s="2">
        <v>45312</v>
      </c>
      <c r="B19" s="1" t="s">
        <v>39</v>
      </c>
      <c r="C19" s="10" t="str">
        <f t="shared" si="0"/>
        <v>37.19842</v>
      </c>
      <c r="D19" s="3">
        <f t="shared" si="1"/>
        <v>-80.564999999999998</v>
      </c>
      <c r="E19" s="1" t="s">
        <v>40</v>
      </c>
      <c r="F19" s="13">
        <v>0.12222222222222222</v>
      </c>
      <c r="G19" s="1">
        <v>2.1</v>
      </c>
      <c r="H19" s="1">
        <v>730.9</v>
      </c>
      <c r="I19" s="1">
        <v>90.8</v>
      </c>
      <c r="J19" s="1">
        <v>12.52</v>
      </c>
      <c r="K19" s="1">
        <v>118</v>
      </c>
      <c r="L19" s="1">
        <v>77</v>
      </c>
      <c r="M19" s="1">
        <v>18.53</v>
      </c>
      <c r="N19" s="1"/>
      <c r="O19" s="1">
        <v>0.71</v>
      </c>
      <c r="P19" s="1">
        <v>0.1</v>
      </c>
      <c r="Q19" s="1">
        <v>0.32900000000000001</v>
      </c>
      <c r="R19" s="13">
        <v>0.12222222222222222</v>
      </c>
      <c r="S19" s="1">
        <v>2.1</v>
      </c>
      <c r="T19" s="1">
        <v>730.9</v>
      </c>
      <c r="U19" s="1">
        <v>91.3</v>
      </c>
      <c r="V19" s="1">
        <v>12.59</v>
      </c>
      <c r="W19" s="1">
        <v>118.1</v>
      </c>
      <c r="X19" s="1">
        <v>77</v>
      </c>
      <c r="Y19" s="1">
        <v>18.84</v>
      </c>
      <c r="Z19" s="1"/>
      <c r="AA19" s="1">
        <v>0.76</v>
      </c>
      <c r="AB19" s="1">
        <v>0.09</v>
      </c>
      <c r="AC19" s="1">
        <v>0.85499999999999998</v>
      </c>
      <c r="AD19" s="21">
        <v>1400</v>
      </c>
      <c r="AE19" s="27">
        <f t="shared" si="2"/>
        <v>18.685000000000002</v>
      </c>
      <c r="AF19" s="1">
        <v>1.84</v>
      </c>
      <c r="AM19" s="1"/>
    </row>
    <row r="20" spans="1:39" ht="13" x14ac:dyDescent="0.15">
      <c r="A20" s="2">
        <v>45321</v>
      </c>
      <c r="B20" s="1" t="s">
        <v>47</v>
      </c>
      <c r="C20" s="10" t="str">
        <f t="shared" si="0"/>
        <v>37.19732</v>
      </c>
      <c r="D20" s="3">
        <f t="shared" si="1"/>
        <v>-80.563940000000002</v>
      </c>
      <c r="E20" s="1" t="s">
        <v>48</v>
      </c>
      <c r="F20" s="13">
        <v>0.10069444444444445</v>
      </c>
      <c r="G20" s="1">
        <v>4.0999999999999996</v>
      </c>
      <c r="H20" s="1">
        <v>718.7</v>
      </c>
      <c r="I20" s="1">
        <v>92</v>
      </c>
      <c r="J20" s="1">
        <v>12.02</v>
      </c>
      <c r="K20" s="1">
        <v>122.8</v>
      </c>
      <c r="L20" s="1">
        <v>80</v>
      </c>
      <c r="M20" s="1">
        <v>11.64</v>
      </c>
      <c r="N20" s="1"/>
      <c r="O20" s="1">
        <v>0.18</v>
      </c>
      <c r="P20" s="1">
        <v>0.1</v>
      </c>
      <c r="Q20" s="1">
        <v>0.16500000000000001</v>
      </c>
      <c r="R20" s="13">
        <v>0.10138888888888889</v>
      </c>
      <c r="S20" s="1">
        <v>4.0999999999999996</v>
      </c>
      <c r="T20" s="1">
        <v>718.7</v>
      </c>
      <c r="U20" s="1">
        <v>92.1</v>
      </c>
      <c r="V20" s="1">
        <v>12.02</v>
      </c>
      <c r="W20" s="1">
        <v>123.6</v>
      </c>
      <c r="X20" s="1">
        <v>80</v>
      </c>
      <c r="Y20" s="1">
        <v>12.69</v>
      </c>
      <c r="Z20" s="1"/>
      <c r="AA20" s="1">
        <v>0.17</v>
      </c>
      <c r="AB20" s="1">
        <v>0.12</v>
      </c>
      <c r="AC20" s="1">
        <v>0.56100000000000005</v>
      </c>
      <c r="AD20" s="21">
        <v>6800</v>
      </c>
      <c r="AE20" s="27">
        <f t="shared" si="2"/>
        <v>12.164999999999999</v>
      </c>
      <c r="AF20" s="1">
        <v>3.34</v>
      </c>
      <c r="AM20" s="1"/>
    </row>
    <row r="21" spans="1:39" ht="13" x14ac:dyDescent="0.15">
      <c r="A21" s="2">
        <v>45321</v>
      </c>
      <c r="B21" s="1" t="s">
        <v>49</v>
      </c>
      <c r="C21" s="10" t="str">
        <f t="shared" si="0"/>
        <v>37.19796</v>
      </c>
      <c r="D21" s="3">
        <f t="shared" si="1"/>
        <v>-80.564750000000004</v>
      </c>
      <c r="E21" s="1" t="s">
        <v>50</v>
      </c>
      <c r="F21" s="13">
        <v>0.10555555555555556</v>
      </c>
      <c r="G21" s="1">
        <v>3.9</v>
      </c>
      <c r="H21" s="1">
        <v>718.7</v>
      </c>
      <c r="I21" s="1">
        <v>92.7</v>
      </c>
      <c r="J21" s="1">
        <v>12.17</v>
      </c>
      <c r="K21" s="1">
        <v>123.1</v>
      </c>
      <c r="L21" s="1">
        <v>80</v>
      </c>
      <c r="M21" s="1">
        <v>9.44</v>
      </c>
      <c r="N21" s="1"/>
      <c r="O21" s="1">
        <v>0.19</v>
      </c>
      <c r="P21" s="1">
        <v>7.0000000000000007E-2</v>
      </c>
      <c r="Q21" s="1">
        <v>0.26600000000000001</v>
      </c>
      <c r="R21" s="13">
        <v>0.10555555555555556</v>
      </c>
      <c r="S21" s="1">
        <v>3.9</v>
      </c>
      <c r="T21" s="1">
        <v>718.7</v>
      </c>
      <c r="U21" s="1">
        <v>92.7</v>
      </c>
      <c r="V21" s="1">
        <v>12.16</v>
      </c>
      <c r="W21" s="1">
        <v>123.3</v>
      </c>
      <c r="X21" s="1">
        <v>80</v>
      </c>
      <c r="Y21" s="1">
        <v>9.7799999999999994</v>
      </c>
      <c r="Z21" s="1"/>
      <c r="AA21" s="1">
        <v>0.18</v>
      </c>
      <c r="AB21" s="1">
        <v>0.08</v>
      </c>
      <c r="AC21" s="1">
        <v>1.194</v>
      </c>
      <c r="AD21" s="21">
        <v>6800</v>
      </c>
      <c r="AE21" s="27">
        <f t="shared" si="2"/>
        <v>9.61</v>
      </c>
      <c r="AF21" s="1">
        <v>3.34</v>
      </c>
      <c r="AM21" s="1"/>
    </row>
    <row r="22" spans="1:39" ht="13" x14ac:dyDescent="0.15">
      <c r="A22" s="2">
        <v>45321</v>
      </c>
      <c r="B22" s="1" t="s">
        <v>51</v>
      </c>
      <c r="C22" s="10" t="str">
        <f t="shared" si="0"/>
        <v>37.19850</v>
      </c>
      <c r="D22" s="3">
        <f t="shared" si="1"/>
        <v>-80.565039999999996</v>
      </c>
      <c r="E22" s="1" t="s">
        <v>52</v>
      </c>
      <c r="F22" s="13">
        <v>0.11319444444444444</v>
      </c>
      <c r="G22" s="1">
        <v>4.0999999999999996</v>
      </c>
      <c r="H22" s="1">
        <v>718.7</v>
      </c>
      <c r="I22" s="1">
        <v>92.6</v>
      </c>
      <c r="J22" s="1">
        <v>12.11</v>
      </c>
      <c r="K22" s="1">
        <v>127.5</v>
      </c>
      <c r="L22" s="1">
        <v>83</v>
      </c>
      <c r="M22" s="1">
        <v>9.81</v>
      </c>
      <c r="N22" s="1"/>
      <c r="O22" s="1">
        <v>0.18</v>
      </c>
      <c r="P22" s="1">
        <v>0.1</v>
      </c>
      <c r="Q22" s="1">
        <v>0.25700000000000001</v>
      </c>
      <c r="R22" s="13">
        <v>0.11388888888888889</v>
      </c>
      <c r="S22" s="1">
        <v>4.0999999999999996</v>
      </c>
      <c r="T22" s="1">
        <v>718.7</v>
      </c>
      <c r="U22" s="1">
        <v>92.8</v>
      </c>
      <c r="V22" s="1">
        <v>12.12</v>
      </c>
      <c r="W22" s="1">
        <v>133.30000000000001</v>
      </c>
      <c r="X22" s="1">
        <v>87</v>
      </c>
      <c r="Y22" s="1">
        <v>10.41</v>
      </c>
      <c r="Z22" s="1"/>
      <c r="AA22" s="1">
        <v>0.14000000000000001</v>
      </c>
      <c r="AB22" s="1">
        <v>0.12</v>
      </c>
      <c r="AC22" s="1">
        <v>1.1200000000000001</v>
      </c>
      <c r="AD22" s="20">
        <v>6970</v>
      </c>
      <c r="AE22" s="27">
        <f t="shared" si="2"/>
        <v>10.11</v>
      </c>
      <c r="AF22" s="1">
        <v>3.34</v>
      </c>
      <c r="AM22" s="1"/>
    </row>
    <row r="23" spans="1:39" ht="13" x14ac:dyDescent="0.15">
      <c r="A23" s="2">
        <v>45321</v>
      </c>
      <c r="B23" s="1" t="s">
        <v>41</v>
      </c>
      <c r="C23" s="10" t="str">
        <f t="shared" si="0"/>
        <v>37.14414</v>
      </c>
      <c r="D23" s="3">
        <f t="shared" si="1"/>
        <v>-80.563419999999994</v>
      </c>
      <c r="E23" s="1" t="s">
        <v>42</v>
      </c>
      <c r="F23" s="13">
        <v>0.5395833333333333</v>
      </c>
      <c r="G23" s="1">
        <v>3.9</v>
      </c>
      <c r="H23" s="1">
        <v>718.5</v>
      </c>
      <c r="I23" s="1">
        <v>90.3</v>
      </c>
      <c r="J23" s="1">
        <v>11.87</v>
      </c>
      <c r="K23" s="1">
        <v>126.3</v>
      </c>
      <c r="L23" s="1">
        <v>82</v>
      </c>
      <c r="M23" s="1">
        <v>11.92</v>
      </c>
      <c r="N23" s="1"/>
      <c r="O23" s="1">
        <v>0.09</v>
      </c>
      <c r="P23" s="1">
        <v>0.03</v>
      </c>
      <c r="Q23" s="1">
        <v>0.16200000000000001</v>
      </c>
      <c r="R23" s="13">
        <v>0.54027777777777775</v>
      </c>
      <c r="S23" s="1">
        <v>3.9</v>
      </c>
      <c r="T23" s="1">
        <v>718.6</v>
      </c>
      <c r="U23" s="1">
        <v>92</v>
      </c>
      <c r="V23" s="1">
        <v>12.09</v>
      </c>
      <c r="W23" s="1">
        <v>126</v>
      </c>
      <c r="X23" s="1">
        <v>82</v>
      </c>
      <c r="Y23" s="1">
        <v>10.99</v>
      </c>
      <c r="Z23" s="1"/>
      <c r="AA23" s="1">
        <v>0.12</v>
      </c>
      <c r="AB23" s="1">
        <v>7.0000000000000007E-2</v>
      </c>
      <c r="AC23" s="1">
        <v>0.72499999999999998</v>
      </c>
      <c r="AD23" s="21">
        <v>6220</v>
      </c>
      <c r="AE23" s="27">
        <f t="shared" si="2"/>
        <v>11.455</v>
      </c>
      <c r="AF23" s="1">
        <v>3.38</v>
      </c>
      <c r="AM23" s="1"/>
    </row>
    <row r="24" spans="1:39" ht="13" x14ac:dyDescent="0.15">
      <c r="A24" s="2">
        <v>45321</v>
      </c>
      <c r="B24" s="1" t="s">
        <v>43</v>
      </c>
      <c r="C24" s="10" t="str">
        <f t="shared" si="0"/>
        <v>37.14384</v>
      </c>
      <c r="D24" s="3">
        <f t="shared" si="1"/>
        <v>-80.562830000000005</v>
      </c>
      <c r="E24" s="1" t="s">
        <v>44</v>
      </c>
      <c r="F24" s="13">
        <v>4.3749999999999997E-2</v>
      </c>
      <c r="G24" s="1">
        <v>3.7</v>
      </c>
      <c r="H24" s="1">
        <v>718.6</v>
      </c>
      <c r="I24" s="1">
        <v>91.5</v>
      </c>
      <c r="J24" s="1">
        <v>12.08</v>
      </c>
      <c r="K24" s="1">
        <v>110.3</v>
      </c>
      <c r="L24" s="1">
        <v>72</v>
      </c>
      <c r="M24" s="1">
        <v>10.75</v>
      </c>
      <c r="N24" s="1"/>
      <c r="O24" s="1">
        <v>0.14000000000000001</v>
      </c>
      <c r="P24" s="1">
        <v>0.05</v>
      </c>
      <c r="Q24" s="1">
        <v>0.34100000000000003</v>
      </c>
      <c r="R24" s="13">
        <v>4.4444444444444446E-2</v>
      </c>
      <c r="S24" s="1">
        <v>3.7</v>
      </c>
      <c r="T24" s="1">
        <v>718.4</v>
      </c>
      <c r="U24" s="1">
        <v>91.7</v>
      </c>
      <c r="V24" s="1">
        <v>12.1</v>
      </c>
      <c r="W24" s="1">
        <v>110.3</v>
      </c>
      <c r="X24" s="1">
        <v>72</v>
      </c>
      <c r="Y24" s="1">
        <v>9.4700000000000006</v>
      </c>
      <c r="Z24" s="1"/>
      <c r="AA24" s="1">
        <v>0.13</v>
      </c>
      <c r="AB24" s="1">
        <v>7.0000000000000007E-2</v>
      </c>
      <c r="AC24" s="1">
        <v>0.88300000000000001</v>
      </c>
      <c r="AD24" s="21">
        <v>6220</v>
      </c>
      <c r="AE24" s="27">
        <f t="shared" si="2"/>
        <v>10.11</v>
      </c>
      <c r="AF24" s="1">
        <v>3.38</v>
      </c>
      <c r="AM24" s="1"/>
    </row>
    <row r="25" spans="1:39" ht="13" x14ac:dyDescent="0.15">
      <c r="A25" s="2">
        <v>45321</v>
      </c>
      <c r="B25" s="1" t="s">
        <v>45</v>
      </c>
      <c r="C25" s="10" t="str">
        <f t="shared" si="0"/>
        <v>37.14347</v>
      </c>
      <c r="D25" s="3">
        <f t="shared" si="1"/>
        <v>-80.562380000000005</v>
      </c>
      <c r="E25" s="1" t="s">
        <v>46</v>
      </c>
      <c r="F25" s="13">
        <v>4.7222222222222221E-2</v>
      </c>
      <c r="G25" s="1">
        <v>4.9000000000000004</v>
      </c>
      <c r="H25" s="1">
        <v>718.5</v>
      </c>
      <c r="I25" s="1">
        <v>91.9</v>
      </c>
      <c r="J25" s="1">
        <v>11.77</v>
      </c>
      <c r="K25" s="1">
        <v>132.30000000000001</v>
      </c>
      <c r="L25" s="1">
        <v>86</v>
      </c>
      <c r="M25" s="1">
        <v>17.84</v>
      </c>
      <c r="N25" s="1"/>
      <c r="O25" s="1">
        <v>0.32</v>
      </c>
      <c r="P25" s="1">
        <v>0.14000000000000001</v>
      </c>
      <c r="Q25" s="1">
        <v>0.39500000000000002</v>
      </c>
      <c r="R25" s="13">
        <v>4.791666666666667E-2</v>
      </c>
      <c r="S25" s="1">
        <v>4.9000000000000004</v>
      </c>
      <c r="T25" s="1">
        <v>718.5</v>
      </c>
      <c r="U25" s="1">
        <v>92.1</v>
      </c>
      <c r="V25" s="1">
        <v>11.79</v>
      </c>
      <c r="W25" s="1">
        <v>132.9</v>
      </c>
      <c r="X25" s="1">
        <v>86</v>
      </c>
      <c r="Y25" s="1">
        <v>27.45</v>
      </c>
      <c r="Z25" s="1"/>
      <c r="AA25" s="1">
        <v>0.33</v>
      </c>
      <c r="AB25" s="1">
        <v>0.11</v>
      </c>
      <c r="AC25" s="1">
        <v>0.59799999999999998</v>
      </c>
      <c r="AD25" s="21">
        <v>6220</v>
      </c>
      <c r="AE25" s="27">
        <f t="shared" si="2"/>
        <v>22.645</v>
      </c>
      <c r="AF25" s="1">
        <v>3.37</v>
      </c>
      <c r="AM25" s="1"/>
    </row>
    <row r="26" spans="1:39" ht="13" x14ac:dyDescent="0.15">
      <c r="A26" s="2">
        <v>45326</v>
      </c>
      <c r="B26" s="1" t="s">
        <v>53</v>
      </c>
      <c r="C26" s="10" t="str">
        <f t="shared" si="0"/>
        <v>37.14409</v>
      </c>
      <c r="D26" s="3">
        <f t="shared" si="1"/>
        <v>-80.563400000000001</v>
      </c>
      <c r="E26" s="1" t="s">
        <v>54</v>
      </c>
      <c r="F26" s="13">
        <v>4.3749999999999997E-2</v>
      </c>
      <c r="G26" s="1">
        <v>6.1</v>
      </c>
      <c r="H26" s="1">
        <v>715.7</v>
      </c>
      <c r="I26" s="1">
        <v>91.5</v>
      </c>
      <c r="J26" s="1">
        <v>11.36</v>
      </c>
      <c r="K26" s="1">
        <v>126.1</v>
      </c>
      <c r="L26" s="1">
        <v>82</v>
      </c>
      <c r="M26" s="1">
        <v>13.15</v>
      </c>
      <c r="N26" s="1"/>
      <c r="O26" s="1">
        <v>0.11</v>
      </c>
      <c r="P26" s="1">
        <v>0.03</v>
      </c>
      <c r="Q26" s="1">
        <v>0.23599999999999999</v>
      </c>
      <c r="R26" s="13">
        <v>4.4444444444444446E-2</v>
      </c>
      <c r="S26" s="1">
        <v>6.1</v>
      </c>
      <c r="T26" s="1">
        <v>715.7</v>
      </c>
      <c r="U26" s="1">
        <v>93.3</v>
      </c>
      <c r="V26" s="1">
        <v>11.6</v>
      </c>
      <c r="W26" s="1">
        <v>126.6</v>
      </c>
      <c r="X26" s="1">
        <v>82</v>
      </c>
      <c r="Y26" s="1">
        <v>13.58</v>
      </c>
      <c r="Z26" s="1"/>
      <c r="AA26" s="1">
        <v>0.13</v>
      </c>
      <c r="AB26" s="1">
        <v>0.03</v>
      </c>
      <c r="AC26" s="1">
        <v>0.65400000000000003</v>
      </c>
      <c r="AD26" s="20">
        <v>2470</v>
      </c>
      <c r="AE26" s="27">
        <f t="shared" si="2"/>
        <v>13.365</v>
      </c>
      <c r="AF26" s="1">
        <v>2.37</v>
      </c>
      <c r="AM26" s="1"/>
    </row>
    <row r="27" spans="1:39" ht="13" x14ac:dyDescent="0.15">
      <c r="A27" s="2">
        <v>45326</v>
      </c>
      <c r="B27" s="1" t="s">
        <v>55</v>
      </c>
      <c r="C27" s="10" t="str">
        <f t="shared" si="0"/>
        <v>37.14392</v>
      </c>
      <c r="D27" s="3">
        <f t="shared" si="1"/>
        <v>-80.562860000000001</v>
      </c>
      <c r="E27" s="1" t="s">
        <v>56</v>
      </c>
      <c r="F27" s="13">
        <v>4.6527777777777779E-2</v>
      </c>
      <c r="G27" s="1">
        <v>5.9</v>
      </c>
      <c r="H27" s="1">
        <v>715.7</v>
      </c>
      <c r="I27" s="1">
        <v>93.6</v>
      </c>
      <c r="J27" s="1">
        <v>11.69</v>
      </c>
      <c r="K27" s="1">
        <v>114.2</v>
      </c>
      <c r="L27" s="1">
        <v>74</v>
      </c>
      <c r="M27" s="1">
        <v>11.33</v>
      </c>
      <c r="N27" s="1"/>
      <c r="O27" s="1">
        <v>0.12</v>
      </c>
      <c r="P27" s="1">
        <v>0.04</v>
      </c>
      <c r="Q27" s="1">
        <v>0.252</v>
      </c>
      <c r="R27" s="13">
        <v>4.7222222222222221E-2</v>
      </c>
      <c r="S27" s="1">
        <v>5.9</v>
      </c>
      <c r="T27" s="1">
        <v>715.6</v>
      </c>
      <c r="U27" s="1">
        <v>94.8</v>
      </c>
      <c r="V27" s="1">
        <v>11.83</v>
      </c>
      <c r="W27" s="1">
        <v>114.4</v>
      </c>
      <c r="X27" s="1">
        <v>74</v>
      </c>
      <c r="Y27" s="1">
        <v>9.5299999999999994</v>
      </c>
      <c r="Z27" s="1"/>
      <c r="AA27" s="1">
        <v>0.11</v>
      </c>
      <c r="AB27" s="1">
        <v>7.0000000000000007E-2</v>
      </c>
      <c r="AC27" s="1">
        <v>0.90800000000000003</v>
      </c>
      <c r="AD27" s="20">
        <v>2420</v>
      </c>
      <c r="AE27" s="27">
        <f t="shared" si="2"/>
        <v>10.43</v>
      </c>
      <c r="AF27" s="1">
        <v>2.37</v>
      </c>
      <c r="AM27" s="1"/>
    </row>
    <row r="28" spans="1:39" ht="13" x14ac:dyDescent="0.15">
      <c r="A28" s="2">
        <v>45326</v>
      </c>
      <c r="B28" s="1" t="s">
        <v>57</v>
      </c>
      <c r="C28" s="10" t="str">
        <f t="shared" si="0"/>
        <v>37.14350</v>
      </c>
      <c r="D28" s="3">
        <f t="shared" si="1"/>
        <v>-80.562510000000003</v>
      </c>
      <c r="E28" s="1" t="s">
        <v>58</v>
      </c>
      <c r="F28" s="13">
        <v>4.8611111111111112E-2</v>
      </c>
      <c r="G28" s="1">
        <v>5.6</v>
      </c>
      <c r="H28" s="1">
        <v>715.6</v>
      </c>
      <c r="I28" s="1">
        <v>92.3</v>
      </c>
      <c r="J28" s="1">
        <v>11.58</v>
      </c>
      <c r="K28" s="1">
        <v>151.1</v>
      </c>
      <c r="L28" s="1">
        <v>98</v>
      </c>
      <c r="M28" s="1">
        <v>8.5299999999999994</v>
      </c>
      <c r="N28" s="1"/>
      <c r="O28" s="1">
        <v>0.12</v>
      </c>
      <c r="P28" s="1">
        <v>0.03</v>
      </c>
      <c r="Q28" s="1">
        <v>0.377</v>
      </c>
      <c r="R28" s="13">
        <v>4.9305555555555554E-2</v>
      </c>
      <c r="S28" s="1">
        <v>5.5</v>
      </c>
      <c r="T28" s="1">
        <v>715.6</v>
      </c>
      <c r="U28" s="1">
        <v>93</v>
      </c>
      <c r="V28" s="1">
        <v>11.7</v>
      </c>
      <c r="W28" s="1">
        <v>157</v>
      </c>
      <c r="X28" s="1">
        <v>102</v>
      </c>
      <c r="Y28" s="1">
        <v>8.56</v>
      </c>
      <c r="Z28" s="1"/>
      <c r="AA28" s="1">
        <v>0.1</v>
      </c>
      <c r="AB28" s="1">
        <v>0.09</v>
      </c>
      <c r="AC28" s="1">
        <v>0.95099999999999996</v>
      </c>
      <c r="AD28" s="20">
        <v>2370</v>
      </c>
      <c r="AE28" s="27">
        <f t="shared" si="2"/>
        <v>8.5449999999999999</v>
      </c>
      <c r="AF28" s="1">
        <v>2.37</v>
      </c>
      <c r="AM28" s="1"/>
    </row>
    <row r="29" spans="1:39" ht="13" x14ac:dyDescent="0.15">
      <c r="A29" s="2">
        <v>45330</v>
      </c>
      <c r="B29" s="1" t="s">
        <v>59</v>
      </c>
      <c r="C29" s="10" t="str">
        <f t="shared" si="0"/>
        <v>37.19731</v>
      </c>
      <c r="D29" s="3">
        <f t="shared" si="1"/>
        <v>-80.564160000000001</v>
      </c>
      <c r="E29" s="1" t="s">
        <v>60</v>
      </c>
      <c r="F29" s="13">
        <v>5.9722222222222225E-2</v>
      </c>
      <c r="G29" s="1">
        <v>5.3</v>
      </c>
      <c r="H29" s="1">
        <v>723.8</v>
      </c>
      <c r="I29" s="1">
        <v>90</v>
      </c>
      <c r="J29" s="1">
        <v>11.4</v>
      </c>
      <c r="K29" s="1">
        <v>137.69999999999999</v>
      </c>
      <c r="L29" s="1">
        <v>90</v>
      </c>
      <c r="M29" s="1">
        <v>11.69</v>
      </c>
      <c r="N29" s="1"/>
      <c r="O29" s="1">
        <v>7.0000000000000007E-2</v>
      </c>
      <c r="P29" s="1">
        <v>0</v>
      </c>
      <c r="Q29" s="1">
        <v>0.254</v>
      </c>
      <c r="R29" s="13">
        <v>6.0416666666666667E-2</v>
      </c>
      <c r="S29" s="1">
        <v>5.5</v>
      </c>
      <c r="T29" s="1">
        <v>723.7</v>
      </c>
      <c r="U29" s="1">
        <v>92.3</v>
      </c>
      <c r="V29" s="1">
        <v>11.62</v>
      </c>
      <c r="W29" s="1">
        <v>146.9</v>
      </c>
      <c r="X29" s="1">
        <v>96</v>
      </c>
      <c r="Y29" s="1">
        <v>11.31</v>
      </c>
      <c r="Z29" s="1"/>
      <c r="AA29" s="1">
        <v>0.06</v>
      </c>
      <c r="AB29" s="1">
        <v>0.06</v>
      </c>
      <c r="AC29" s="1">
        <v>0.92800000000000005</v>
      </c>
      <c r="AD29" s="20">
        <v>3010</v>
      </c>
      <c r="AE29" s="27">
        <f t="shared" si="2"/>
        <v>11.5</v>
      </c>
      <c r="AF29" s="1">
        <v>2.12</v>
      </c>
      <c r="AM29" s="1"/>
    </row>
    <row r="30" spans="1:39" ht="13" x14ac:dyDescent="0.15">
      <c r="A30" s="2">
        <v>45330</v>
      </c>
      <c r="B30" s="1" t="s">
        <v>61</v>
      </c>
      <c r="C30" s="10" t="str">
        <f t="shared" si="0"/>
        <v>37.19731</v>
      </c>
      <c r="D30" s="3">
        <f t="shared" si="1"/>
        <v>-80.564160000000001</v>
      </c>
      <c r="E30" s="5" t="s">
        <v>60</v>
      </c>
      <c r="F30" s="13">
        <v>6.3888888888888884E-2</v>
      </c>
      <c r="G30" s="1">
        <v>5.0999999999999996</v>
      </c>
      <c r="H30" s="1">
        <v>723.7</v>
      </c>
      <c r="I30" s="1">
        <v>90.8</v>
      </c>
      <c r="J30" s="1">
        <v>11.56</v>
      </c>
      <c r="K30" s="1">
        <v>139.9</v>
      </c>
      <c r="L30" s="1">
        <v>91</v>
      </c>
      <c r="M30" s="1">
        <v>9.9499999999999993</v>
      </c>
      <c r="N30" s="1"/>
      <c r="O30" s="1">
        <v>0.09</v>
      </c>
      <c r="P30" s="1">
        <v>0.02</v>
      </c>
      <c r="Q30" s="1">
        <v>0.30499999999999999</v>
      </c>
      <c r="R30" s="13">
        <v>6.458333333333334E-2</v>
      </c>
      <c r="S30" s="1">
        <v>5</v>
      </c>
      <c r="T30" s="1">
        <v>723.7</v>
      </c>
      <c r="U30" s="1">
        <v>92.6</v>
      </c>
      <c r="V30" s="1">
        <v>11.83</v>
      </c>
      <c r="W30" s="1">
        <v>140.19999999999999</v>
      </c>
      <c r="X30" s="1">
        <v>91</v>
      </c>
      <c r="Y30" s="1">
        <v>9.15</v>
      </c>
      <c r="Z30" s="1"/>
      <c r="AA30" s="1">
        <v>7.0000000000000007E-2</v>
      </c>
      <c r="AB30" s="1">
        <v>0.06</v>
      </c>
      <c r="AC30" s="1">
        <v>0.86499999999999999</v>
      </c>
      <c r="AD30" s="21">
        <v>3010</v>
      </c>
      <c r="AE30" s="27">
        <f t="shared" si="2"/>
        <v>9.5500000000000007</v>
      </c>
      <c r="AF30" s="1">
        <v>2.12</v>
      </c>
      <c r="AM30" s="1"/>
    </row>
    <row r="31" spans="1:39" ht="13" x14ac:dyDescent="0.15">
      <c r="A31" s="2">
        <v>45330</v>
      </c>
      <c r="B31" s="1" t="s">
        <v>62</v>
      </c>
      <c r="C31" s="10" t="str">
        <f t="shared" si="0"/>
        <v>37.19838</v>
      </c>
      <c r="D31" s="3">
        <f t="shared" si="1"/>
        <v>-80.565200000000004</v>
      </c>
      <c r="E31" s="1" t="s">
        <v>63</v>
      </c>
      <c r="F31" s="13">
        <v>6.805555555555555E-2</v>
      </c>
      <c r="G31" s="1">
        <v>5.0999999999999996</v>
      </c>
      <c r="H31" s="1">
        <v>723.6</v>
      </c>
      <c r="I31" s="1">
        <v>92.9</v>
      </c>
      <c r="J31" s="1">
        <v>11.81</v>
      </c>
      <c r="K31" s="1">
        <v>145.30000000000001</v>
      </c>
      <c r="L31" s="1">
        <v>94</v>
      </c>
      <c r="M31" s="1">
        <v>7.84</v>
      </c>
      <c r="N31" s="1"/>
      <c r="O31" s="1">
        <v>0.12</v>
      </c>
      <c r="P31" s="1">
        <v>7.0000000000000007E-2</v>
      </c>
      <c r="Q31" s="1">
        <v>0.25600000000000001</v>
      </c>
      <c r="R31" s="13">
        <v>6.805555555555555E-2</v>
      </c>
      <c r="S31" s="1">
        <v>5.0999999999999996</v>
      </c>
      <c r="T31" s="1">
        <v>723.5</v>
      </c>
      <c r="U31" s="1">
        <v>93.6</v>
      </c>
      <c r="V31" s="1">
        <v>11.91</v>
      </c>
      <c r="W31" s="1">
        <v>145.19999999999999</v>
      </c>
      <c r="X31" s="1">
        <v>94</v>
      </c>
      <c r="Y31" s="1">
        <v>7.2</v>
      </c>
      <c r="Z31" s="1"/>
      <c r="AA31" s="1">
        <v>0.13</v>
      </c>
      <c r="AB31" s="1">
        <v>0.05</v>
      </c>
      <c r="AC31" s="1">
        <v>1.0640000000000001</v>
      </c>
      <c r="AD31" s="21">
        <f>(3010+2900)/2</f>
        <v>2955</v>
      </c>
      <c r="AE31" s="27">
        <f t="shared" si="2"/>
        <v>7.52</v>
      </c>
      <c r="AF31" s="1">
        <v>2.12</v>
      </c>
      <c r="AM31" s="1"/>
    </row>
    <row r="32" spans="1:39" ht="14" customHeight="1" x14ac:dyDescent="0.15">
      <c r="A32" s="2">
        <v>45336</v>
      </c>
      <c r="B32" s="1" t="s">
        <v>64</v>
      </c>
      <c r="C32" s="10" t="str">
        <f t="shared" si="0"/>
        <v>37.19740</v>
      </c>
      <c r="D32" s="3">
        <f t="shared" si="1"/>
        <v>-80.563999999999993</v>
      </c>
      <c r="E32" s="8" t="s">
        <v>65</v>
      </c>
      <c r="F32" s="13">
        <v>4.3055555555555555E-2</v>
      </c>
      <c r="G32" s="1">
        <v>6.7</v>
      </c>
      <c r="H32" s="1">
        <v>721.6</v>
      </c>
      <c r="I32" s="1">
        <v>88.5</v>
      </c>
      <c r="J32" s="1">
        <v>10.82</v>
      </c>
      <c r="K32" s="1">
        <v>121.1</v>
      </c>
      <c r="L32" s="1">
        <v>79</v>
      </c>
      <c r="M32" s="1">
        <v>13.99</v>
      </c>
      <c r="N32" s="1"/>
      <c r="O32" s="1">
        <v>0.22</v>
      </c>
      <c r="P32" s="1">
        <v>0.03</v>
      </c>
      <c r="Q32" s="1">
        <v>0.2</v>
      </c>
      <c r="R32" s="13">
        <v>4.4444444444444446E-2</v>
      </c>
      <c r="S32" s="1">
        <v>6.6</v>
      </c>
      <c r="T32" s="1">
        <v>721.7</v>
      </c>
      <c r="U32" s="1">
        <v>91.9</v>
      </c>
      <c r="V32" s="1">
        <v>11.25</v>
      </c>
      <c r="W32" s="1">
        <v>119.7</v>
      </c>
      <c r="X32" s="1">
        <v>78</v>
      </c>
      <c r="Y32" s="1">
        <v>14.21</v>
      </c>
      <c r="Z32" s="1"/>
      <c r="AA32" s="1">
        <v>0.18</v>
      </c>
      <c r="AB32" s="1">
        <v>0.02</v>
      </c>
      <c r="AC32" s="1">
        <v>0.66900000000000004</v>
      </c>
      <c r="AD32" s="21">
        <v>7810</v>
      </c>
      <c r="AE32" s="27">
        <f t="shared" si="2"/>
        <v>14.100000000000001</v>
      </c>
      <c r="AF32" s="1">
        <v>3.31</v>
      </c>
      <c r="AM32" s="1"/>
    </row>
    <row r="33" spans="1:39" ht="15" customHeight="1" x14ac:dyDescent="0.15">
      <c r="A33" s="2">
        <v>45336</v>
      </c>
      <c r="B33" s="1" t="s">
        <v>66</v>
      </c>
      <c r="C33" s="10" t="str">
        <f t="shared" si="0"/>
        <v>37.19795</v>
      </c>
      <c r="D33" s="3">
        <f t="shared" si="1"/>
        <v>-80.564660000000003</v>
      </c>
      <c r="E33" s="9" t="s">
        <v>67</v>
      </c>
      <c r="F33" s="13">
        <v>5.0694444444444445E-2</v>
      </c>
      <c r="G33" s="1">
        <v>6.6</v>
      </c>
      <c r="H33" s="1">
        <v>721.7</v>
      </c>
      <c r="I33" s="1">
        <v>94.1</v>
      </c>
      <c r="J33" s="1">
        <v>11.53</v>
      </c>
      <c r="K33" s="1">
        <v>121.6</v>
      </c>
      <c r="L33" s="1">
        <v>79</v>
      </c>
      <c r="M33" s="1">
        <v>10.06</v>
      </c>
      <c r="N33" s="1"/>
      <c r="O33" s="1">
        <v>0.21</v>
      </c>
      <c r="P33" s="1">
        <v>0.04</v>
      </c>
      <c r="Q33" s="1">
        <v>0.20699999999999999</v>
      </c>
      <c r="R33" s="13">
        <v>5.1388888888888887E-2</v>
      </c>
      <c r="S33" s="1">
        <v>6.6</v>
      </c>
      <c r="T33" s="1">
        <v>721.7</v>
      </c>
      <c r="U33" s="1">
        <v>94</v>
      </c>
      <c r="V33" s="1">
        <v>11.53</v>
      </c>
      <c r="W33" s="1">
        <v>121.5</v>
      </c>
      <c r="X33" s="1">
        <v>79</v>
      </c>
      <c r="Y33" s="1">
        <v>10.41</v>
      </c>
      <c r="Z33" s="1"/>
      <c r="AA33" s="1">
        <v>0.19</v>
      </c>
      <c r="AB33" s="1">
        <v>0.06</v>
      </c>
      <c r="AC33" s="1">
        <v>0.76100000000000001</v>
      </c>
      <c r="AD33" s="21">
        <v>7770</v>
      </c>
      <c r="AE33" s="27">
        <f t="shared" si="2"/>
        <v>10.234999999999999</v>
      </c>
      <c r="AF33" s="1">
        <v>3.31</v>
      </c>
      <c r="AM33" s="1"/>
    </row>
    <row r="34" spans="1:39" ht="13" x14ac:dyDescent="0.15">
      <c r="A34" s="2">
        <v>45336</v>
      </c>
      <c r="B34" s="1" t="s">
        <v>68</v>
      </c>
      <c r="C34" s="10" t="str">
        <f t="shared" ref="C34:C56" si="3">LEFT(E34, 8)</f>
        <v>37.19838</v>
      </c>
      <c r="D34" s="3">
        <f t="shared" ref="D34:D56" si="4">MID(E34, 13, 8) *-1</f>
        <v>-80.565079999999995</v>
      </c>
      <c r="E34" s="9" t="s">
        <v>250</v>
      </c>
      <c r="F34" s="13">
        <v>5.4166666666666669E-2</v>
      </c>
      <c r="G34" s="1">
        <v>6.7</v>
      </c>
      <c r="H34" s="1">
        <v>721.4</v>
      </c>
      <c r="I34" s="1">
        <v>93.7</v>
      </c>
      <c r="J34" s="1">
        <v>11.48</v>
      </c>
      <c r="K34" s="1">
        <v>123.2</v>
      </c>
      <c r="L34" s="1">
        <v>80</v>
      </c>
      <c r="M34" s="1">
        <v>10.119999999999999</v>
      </c>
      <c r="N34" s="1"/>
      <c r="O34" s="1">
        <v>0.23</v>
      </c>
      <c r="P34" s="1">
        <v>0.01</v>
      </c>
      <c r="Q34" s="1">
        <v>0.36099999999999999</v>
      </c>
      <c r="R34" s="13">
        <v>5.4166666666666669E-2</v>
      </c>
      <c r="S34" s="1">
        <v>6.6</v>
      </c>
      <c r="T34" s="1">
        <v>721.5</v>
      </c>
      <c r="U34" s="1">
        <v>93.8</v>
      </c>
      <c r="V34" s="1">
        <v>11.49</v>
      </c>
      <c r="W34" s="1">
        <v>123.3</v>
      </c>
      <c r="X34" s="1">
        <v>80</v>
      </c>
      <c r="Y34" s="1">
        <v>10.35</v>
      </c>
      <c r="Z34" s="1"/>
      <c r="AA34" s="1">
        <v>0.21</v>
      </c>
      <c r="AB34" s="1">
        <v>0.12</v>
      </c>
      <c r="AC34" s="1">
        <v>0.85799999999999998</v>
      </c>
      <c r="AD34" s="21">
        <v>7770</v>
      </c>
      <c r="AE34" s="27">
        <f t="shared" ref="AE34:AE65" si="5">AVERAGE(M34, Y34)</f>
        <v>10.234999999999999</v>
      </c>
      <c r="AF34" s="1">
        <v>3.31</v>
      </c>
      <c r="AM34" s="1"/>
    </row>
    <row r="35" spans="1:39" ht="15.75" customHeight="1" x14ac:dyDescent="0.15">
      <c r="A35" s="2">
        <v>45347</v>
      </c>
      <c r="B35" s="1" t="s">
        <v>70</v>
      </c>
      <c r="C35" s="3" t="str">
        <f t="shared" si="3"/>
        <v>37.14409</v>
      </c>
      <c r="D35" s="3">
        <f t="shared" si="4"/>
        <v>-80.563239999999993</v>
      </c>
      <c r="E35" s="1" t="s">
        <v>71</v>
      </c>
      <c r="F35" s="13">
        <v>0.51875000000000004</v>
      </c>
      <c r="G35" s="1">
        <v>7.1</v>
      </c>
      <c r="H35" s="1">
        <v>720.2</v>
      </c>
      <c r="I35" s="1">
        <v>90.3</v>
      </c>
      <c r="J35" s="1">
        <v>10.94</v>
      </c>
      <c r="K35" s="1">
        <v>124.3</v>
      </c>
      <c r="L35" s="1">
        <v>81</v>
      </c>
      <c r="M35" s="1">
        <v>4.28</v>
      </c>
      <c r="N35" s="1"/>
      <c r="O35" s="1">
        <v>0.12</v>
      </c>
      <c r="P35" s="1">
        <v>0.08</v>
      </c>
      <c r="Q35" s="1">
        <v>0.20200000000000001</v>
      </c>
      <c r="R35" s="13">
        <v>0.51944444444444449</v>
      </c>
      <c r="S35" s="1">
        <v>7.1</v>
      </c>
      <c r="T35" s="1">
        <v>720.1</v>
      </c>
      <c r="U35" s="1">
        <v>90.2</v>
      </c>
      <c r="V35" s="1">
        <v>10.92</v>
      </c>
      <c r="W35" s="1">
        <v>124.8</v>
      </c>
      <c r="X35" s="1">
        <v>81</v>
      </c>
      <c r="Y35" s="1">
        <v>4.2</v>
      </c>
      <c r="Z35" s="1"/>
      <c r="AA35" s="1">
        <v>0.13</v>
      </c>
      <c r="AB35" s="1">
        <v>0.04</v>
      </c>
      <c r="AC35" s="1">
        <v>0.61499999999999999</v>
      </c>
      <c r="AD35" s="21">
        <v>3870</v>
      </c>
      <c r="AE35" s="27">
        <f t="shared" si="5"/>
        <v>4.24</v>
      </c>
      <c r="AF35" s="1">
        <v>2.2400000000000002</v>
      </c>
      <c r="AM35" s="1"/>
    </row>
    <row r="36" spans="1:39" ht="15.75" customHeight="1" x14ac:dyDescent="0.15">
      <c r="A36" s="2">
        <v>45347</v>
      </c>
      <c r="B36" s="1" t="s">
        <v>72</v>
      </c>
      <c r="C36" s="10" t="str">
        <f t="shared" si="3"/>
        <v>37.14388</v>
      </c>
      <c r="D36" s="11">
        <f t="shared" si="4"/>
        <v>-80.562730000000002</v>
      </c>
      <c r="E36" s="1" t="s">
        <v>73</v>
      </c>
      <c r="F36" s="13">
        <v>0.52083333333333337</v>
      </c>
      <c r="G36" s="1">
        <v>7.1</v>
      </c>
      <c r="H36" s="1">
        <v>720.1</v>
      </c>
      <c r="I36" s="1">
        <v>90</v>
      </c>
      <c r="J36" s="1">
        <v>10.91</v>
      </c>
      <c r="K36" s="1">
        <v>119.7</v>
      </c>
      <c r="L36" s="1">
        <v>78</v>
      </c>
      <c r="M36" s="1">
        <v>4.05</v>
      </c>
      <c r="N36" s="1"/>
      <c r="O36" s="1">
        <v>0.09</v>
      </c>
      <c r="P36" s="1">
        <v>0.05</v>
      </c>
      <c r="Q36" s="1">
        <v>0.38800000000000001</v>
      </c>
      <c r="R36" s="13">
        <v>0.52152777777777781</v>
      </c>
      <c r="S36" s="1">
        <v>7.1</v>
      </c>
      <c r="T36" s="1">
        <v>720.2</v>
      </c>
      <c r="U36" s="1">
        <v>90.8</v>
      </c>
      <c r="V36" s="1">
        <v>10.99</v>
      </c>
      <c r="W36" s="1">
        <v>119.7</v>
      </c>
      <c r="X36" s="1">
        <v>78</v>
      </c>
      <c r="Y36" s="1">
        <v>3.95</v>
      </c>
      <c r="Z36" s="1"/>
      <c r="AA36" s="1">
        <v>0.11</v>
      </c>
      <c r="AB36" s="1">
        <v>7.0000000000000007E-2</v>
      </c>
      <c r="AC36" s="1">
        <v>1.2909999999999999</v>
      </c>
      <c r="AD36" s="21">
        <v>3870</v>
      </c>
      <c r="AE36" s="27">
        <f t="shared" si="5"/>
        <v>4</v>
      </c>
      <c r="AF36" s="1">
        <v>2.2400000000000002</v>
      </c>
      <c r="AM36" s="1"/>
    </row>
    <row r="37" spans="1:39" ht="15.75" customHeight="1" x14ac:dyDescent="0.15">
      <c r="A37" s="2">
        <v>45347</v>
      </c>
      <c r="B37" s="1" t="s">
        <v>74</v>
      </c>
      <c r="C37" s="10" t="str">
        <f t="shared" si="3"/>
        <v>37.14358</v>
      </c>
      <c r="D37" s="11">
        <f t="shared" si="4"/>
        <v>-80.562539999999998</v>
      </c>
      <c r="E37" s="1" t="s">
        <v>75</v>
      </c>
      <c r="F37" s="13">
        <v>0.5229166666666667</v>
      </c>
      <c r="G37" s="1">
        <v>6.7</v>
      </c>
      <c r="H37" s="1">
        <v>720.2</v>
      </c>
      <c r="I37" s="1">
        <v>88.4</v>
      </c>
      <c r="J37" s="1">
        <v>10.81</v>
      </c>
      <c r="K37" s="1">
        <v>134</v>
      </c>
      <c r="L37" s="1">
        <v>87</v>
      </c>
      <c r="M37" s="1">
        <v>4.12</v>
      </c>
      <c r="N37" s="1"/>
      <c r="O37" s="1">
        <v>0.08</v>
      </c>
      <c r="P37" s="1">
        <v>0.04</v>
      </c>
      <c r="Q37" s="1">
        <v>0.374</v>
      </c>
      <c r="R37" s="13">
        <v>0.52361111111111114</v>
      </c>
      <c r="S37" s="1">
        <v>6.9</v>
      </c>
      <c r="T37" s="1">
        <v>720.2</v>
      </c>
      <c r="U37" s="1">
        <v>89.2</v>
      </c>
      <c r="V37" s="1">
        <v>10.86</v>
      </c>
      <c r="W37" s="1">
        <v>124.7</v>
      </c>
      <c r="X37" s="1">
        <v>81</v>
      </c>
      <c r="Y37" s="1">
        <v>4.0599999999999996</v>
      </c>
      <c r="Z37" s="1"/>
      <c r="AA37" s="1">
        <v>0.12</v>
      </c>
      <c r="AB37" s="1">
        <v>0.06</v>
      </c>
      <c r="AC37" s="1">
        <v>0.96</v>
      </c>
      <c r="AD37" s="21">
        <v>3870</v>
      </c>
      <c r="AE37" s="27">
        <f t="shared" si="5"/>
        <v>4.09</v>
      </c>
      <c r="AF37" s="1">
        <v>2.2400000000000002</v>
      </c>
      <c r="AM37" s="1"/>
    </row>
    <row r="38" spans="1:39" ht="15.75" customHeight="1" x14ac:dyDescent="0.15">
      <c r="A38" s="2">
        <v>45356</v>
      </c>
      <c r="B38" s="1" t="s">
        <v>82</v>
      </c>
      <c r="C38" s="10" t="str">
        <f t="shared" si="3"/>
        <v>37.19757</v>
      </c>
      <c r="D38" s="11">
        <f t="shared" si="4"/>
        <v>-80.564019999999999</v>
      </c>
      <c r="E38" s="9" t="s">
        <v>83</v>
      </c>
      <c r="F38" s="22">
        <v>7.013888888888889E-2</v>
      </c>
      <c r="G38" s="23">
        <v>8.4</v>
      </c>
      <c r="H38" s="23">
        <v>718.9</v>
      </c>
      <c r="I38" s="23">
        <v>92</v>
      </c>
      <c r="J38" s="23">
        <v>10.79</v>
      </c>
      <c r="K38" s="23">
        <v>129.80000000000001</v>
      </c>
      <c r="L38" s="23">
        <v>84</v>
      </c>
      <c r="M38" s="23">
        <v>5.17</v>
      </c>
      <c r="N38" s="23"/>
      <c r="O38" s="23">
        <v>0.05</v>
      </c>
      <c r="P38" s="23">
        <v>0</v>
      </c>
      <c r="Q38" s="23">
        <v>0.27300000000000002</v>
      </c>
      <c r="R38" s="13">
        <v>7.0833333333333331E-2</v>
      </c>
      <c r="S38" s="1">
        <v>8.4</v>
      </c>
      <c r="T38" s="1">
        <v>718.9</v>
      </c>
      <c r="U38" s="1">
        <v>92.1</v>
      </c>
      <c r="V38" s="1">
        <v>10.8</v>
      </c>
      <c r="W38" s="1">
        <v>129.9</v>
      </c>
      <c r="X38" s="1">
        <v>84</v>
      </c>
      <c r="Y38" s="1">
        <v>4.3499999999999996</v>
      </c>
      <c r="Z38" s="1"/>
      <c r="AA38" s="1">
        <v>0.06</v>
      </c>
      <c r="AB38" s="1">
        <v>0</v>
      </c>
      <c r="AC38" s="1">
        <v>0.85099999999999998</v>
      </c>
      <c r="AD38">
        <v>5310</v>
      </c>
      <c r="AE38" s="27">
        <f t="shared" si="5"/>
        <v>4.76</v>
      </c>
      <c r="AF38" s="1">
        <v>2.58</v>
      </c>
      <c r="AM38" s="1"/>
    </row>
    <row r="39" spans="1:39" ht="15.75" customHeight="1" x14ac:dyDescent="0.15">
      <c r="A39" s="2">
        <v>45356</v>
      </c>
      <c r="B39" s="1" t="s">
        <v>84</v>
      </c>
      <c r="C39" s="10" t="str">
        <f t="shared" si="3"/>
        <v>37.19787</v>
      </c>
      <c r="D39" s="11">
        <f t="shared" si="4"/>
        <v>-80.564790000000002</v>
      </c>
      <c r="E39" s="9" t="s">
        <v>85</v>
      </c>
      <c r="F39" s="13">
        <v>7.2916666666666671E-2</v>
      </c>
      <c r="G39" s="1">
        <v>8.1999999999999993</v>
      </c>
      <c r="H39" s="1">
        <v>718.7</v>
      </c>
      <c r="I39" s="1">
        <v>90.1</v>
      </c>
      <c r="J39" s="1">
        <v>10.62</v>
      </c>
      <c r="K39" s="1">
        <v>132.5</v>
      </c>
      <c r="L39" s="1">
        <v>86</v>
      </c>
      <c r="M39" s="1">
        <v>3.15</v>
      </c>
      <c r="N39" s="1"/>
      <c r="O39" s="1">
        <v>0.04</v>
      </c>
      <c r="P39" s="1">
        <v>0.04</v>
      </c>
      <c r="Q39" s="1">
        <v>0.28199999999999997</v>
      </c>
      <c r="R39" s="13">
        <v>7.2916666666666671E-2</v>
      </c>
      <c r="S39" s="1">
        <v>8.1999999999999993</v>
      </c>
      <c r="T39" s="1">
        <v>718.8</v>
      </c>
      <c r="U39" s="1">
        <v>91.5</v>
      </c>
      <c r="V39" s="1">
        <v>10.78</v>
      </c>
      <c r="W39" s="1">
        <v>132.19999999999999</v>
      </c>
      <c r="X39" s="1">
        <v>86</v>
      </c>
      <c r="Y39" s="1">
        <v>2.4900000000000002</v>
      </c>
      <c r="Z39" s="1"/>
      <c r="AA39" s="1">
        <v>0.08</v>
      </c>
      <c r="AB39" s="1">
        <v>0.04</v>
      </c>
      <c r="AC39" s="1">
        <v>0.878</v>
      </c>
      <c r="AD39">
        <v>5310</v>
      </c>
      <c r="AE39" s="27">
        <f t="shared" si="5"/>
        <v>2.8200000000000003</v>
      </c>
      <c r="AF39" s="1">
        <v>2.58</v>
      </c>
      <c r="AM39" s="1"/>
    </row>
    <row r="40" spans="1:39" ht="15.75" customHeight="1" x14ac:dyDescent="0.15">
      <c r="A40" s="2">
        <v>45356</v>
      </c>
      <c r="B40" s="1" t="s">
        <v>86</v>
      </c>
      <c r="C40" s="10" t="str">
        <f t="shared" si="3"/>
        <v>37.19850</v>
      </c>
      <c r="D40" s="11">
        <f t="shared" si="4"/>
        <v>-80.565039999999996</v>
      </c>
      <c r="E40" s="9" t="s">
        <v>52</v>
      </c>
      <c r="F40" s="13">
        <v>7.6388888888888895E-2</v>
      </c>
      <c r="G40" s="1">
        <v>8.4</v>
      </c>
      <c r="H40" s="1">
        <v>718.2</v>
      </c>
      <c r="I40" s="1">
        <v>91.7</v>
      </c>
      <c r="J40" s="1">
        <v>10.75</v>
      </c>
      <c r="K40" s="1">
        <v>136.4</v>
      </c>
      <c r="L40" s="1">
        <v>89</v>
      </c>
      <c r="M40" s="1">
        <v>2.59</v>
      </c>
      <c r="N40" s="1"/>
      <c r="O40" s="1">
        <v>0.03</v>
      </c>
      <c r="P40" s="1">
        <v>7.0000000000000007E-2</v>
      </c>
      <c r="Q40" s="1">
        <v>0.20399999999999999</v>
      </c>
      <c r="AD40">
        <v>5310</v>
      </c>
      <c r="AE40" s="27">
        <f t="shared" si="5"/>
        <v>2.59</v>
      </c>
      <c r="AF40" s="1">
        <v>2.58</v>
      </c>
      <c r="AM40" s="1"/>
    </row>
    <row r="41" spans="1:39" ht="15.75" customHeight="1" x14ac:dyDescent="0.15">
      <c r="A41" s="2">
        <v>45356</v>
      </c>
      <c r="B41" s="1" t="s">
        <v>76</v>
      </c>
      <c r="C41" s="10" t="str">
        <f t="shared" si="3"/>
        <v>37.14408</v>
      </c>
      <c r="D41" s="11">
        <f t="shared" si="4"/>
        <v>-80.563239999999993</v>
      </c>
      <c r="E41" s="9" t="s">
        <v>77</v>
      </c>
      <c r="F41" s="13">
        <v>0.53333333333333333</v>
      </c>
      <c r="G41" s="1">
        <v>8.1</v>
      </c>
      <c r="H41" s="1">
        <v>718.4</v>
      </c>
      <c r="I41" s="1">
        <v>95.7</v>
      </c>
      <c r="J41" s="1">
        <v>11.3</v>
      </c>
      <c r="K41" s="1">
        <v>122.7</v>
      </c>
      <c r="L41" s="1">
        <v>80</v>
      </c>
      <c r="M41" s="1">
        <v>5.18</v>
      </c>
      <c r="N41" s="1"/>
      <c r="O41" s="1">
        <v>0.16</v>
      </c>
      <c r="P41" s="1">
        <v>0.04</v>
      </c>
      <c r="Q41" s="1">
        <v>0.59499999999999997</v>
      </c>
      <c r="AD41" s="21">
        <v>5010</v>
      </c>
      <c r="AE41" s="27">
        <f t="shared" si="5"/>
        <v>5.18</v>
      </c>
      <c r="AF41" s="1">
        <v>2.58</v>
      </c>
      <c r="AH41" s="25"/>
      <c r="AM41" s="1"/>
    </row>
    <row r="42" spans="1:39" ht="15.75" customHeight="1" x14ac:dyDescent="0.15">
      <c r="A42" s="2">
        <v>45356</v>
      </c>
      <c r="B42" s="1" t="s">
        <v>78</v>
      </c>
      <c r="C42" s="10" t="str">
        <f t="shared" si="3"/>
        <v>37.14379</v>
      </c>
      <c r="D42" s="11">
        <f t="shared" si="4"/>
        <v>-80.563010000000006</v>
      </c>
      <c r="E42" s="9" t="s">
        <v>79</v>
      </c>
      <c r="F42" s="13">
        <v>0.53541666666666665</v>
      </c>
      <c r="G42" s="1">
        <v>8.5</v>
      </c>
      <c r="H42" s="1">
        <v>718.4</v>
      </c>
      <c r="I42" s="1">
        <v>93</v>
      </c>
      <c r="J42" s="1">
        <v>10.88</v>
      </c>
      <c r="K42" s="1">
        <v>116.6</v>
      </c>
      <c r="L42" s="1">
        <v>76</v>
      </c>
      <c r="M42" s="1">
        <v>6.5</v>
      </c>
      <c r="N42" s="1"/>
      <c r="O42" s="1">
        <v>0.12</v>
      </c>
      <c r="P42" s="1">
        <v>0.03</v>
      </c>
      <c r="Q42" s="1">
        <v>0.223</v>
      </c>
      <c r="R42" s="13">
        <v>0.53541666666666665</v>
      </c>
      <c r="S42" s="1">
        <v>8.4</v>
      </c>
      <c r="T42" s="1">
        <v>718.4</v>
      </c>
      <c r="U42" s="1">
        <v>95.4</v>
      </c>
      <c r="V42" s="1">
        <v>11.19</v>
      </c>
      <c r="W42" s="1">
        <v>116.6</v>
      </c>
      <c r="X42" s="1">
        <v>76</v>
      </c>
      <c r="Y42" s="1">
        <v>6.14</v>
      </c>
      <c r="Z42" s="1"/>
      <c r="AA42" s="1">
        <v>0.14000000000000001</v>
      </c>
      <c r="AB42" s="1">
        <v>0.06</v>
      </c>
      <c r="AC42" s="1">
        <v>0.81499999999999995</v>
      </c>
      <c r="AD42">
        <v>5010</v>
      </c>
      <c r="AE42" s="27">
        <f t="shared" si="5"/>
        <v>6.32</v>
      </c>
      <c r="AF42" s="1">
        <v>2.58</v>
      </c>
      <c r="AM42" s="1"/>
    </row>
    <row r="43" spans="1:39" ht="15.75" customHeight="1" x14ac:dyDescent="0.15">
      <c r="A43" s="2">
        <v>45356</v>
      </c>
      <c r="B43" s="1" t="s">
        <v>80</v>
      </c>
      <c r="C43" s="10" t="str">
        <f t="shared" si="3"/>
        <v>37.14358</v>
      </c>
      <c r="D43" s="11">
        <f t="shared" si="4"/>
        <v>-80.562420000000003</v>
      </c>
      <c r="E43" s="9" t="s">
        <v>81</v>
      </c>
      <c r="F43" s="13">
        <v>0.53611111111111109</v>
      </c>
      <c r="G43" s="1">
        <v>9.6999999999999993</v>
      </c>
      <c r="H43" s="1">
        <v>718.4</v>
      </c>
      <c r="I43" s="1">
        <v>92.9</v>
      </c>
      <c r="J43" s="1">
        <v>10.55</v>
      </c>
      <c r="K43" s="1">
        <v>122.3</v>
      </c>
      <c r="L43" s="1">
        <v>79</v>
      </c>
      <c r="M43" s="1">
        <v>5.53</v>
      </c>
      <c r="N43" s="1"/>
      <c r="O43" s="1">
        <v>0.1</v>
      </c>
      <c r="P43" s="1">
        <v>0.03</v>
      </c>
      <c r="Q43" s="1">
        <v>0.36499999999999999</v>
      </c>
      <c r="R43" s="13">
        <v>0.53611111111111109</v>
      </c>
      <c r="S43" s="1">
        <v>9.6999999999999993</v>
      </c>
      <c r="T43" s="1">
        <v>718.4</v>
      </c>
      <c r="U43" s="1">
        <v>94.5</v>
      </c>
      <c r="V43" s="1">
        <v>10.75</v>
      </c>
      <c r="W43" s="1">
        <v>123.3</v>
      </c>
      <c r="X43" s="1">
        <v>80</v>
      </c>
      <c r="Y43" s="1">
        <v>4.75</v>
      </c>
      <c r="Z43" s="1"/>
      <c r="AA43" s="1">
        <v>0.1</v>
      </c>
      <c r="AB43" s="1">
        <v>0.02</v>
      </c>
      <c r="AC43" s="1">
        <v>0.72599999999999998</v>
      </c>
      <c r="AD43">
        <v>5130</v>
      </c>
      <c r="AE43" s="27">
        <f t="shared" si="5"/>
        <v>5.1400000000000006</v>
      </c>
      <c r="AF43" s="1">
        <v>2.58</v>
      </c>
      <c r="AM43" s="1"/>
    </row>
    <row r="44" spans="1:39" ht="15.75" customHeight="1" x14ac:dyDescent="0.15">
      <c r="A44" s="26">
        <v>45364</v>
      </c>
      <c r="B44" s="1" t="s">
        <v>87</v>
      </c>
      <c r="C44" s="10" t="str">
        <f t="shared" si="3"/>
        <v>37.14442</v>
      </c>
      <c r="D44" s="11">
        <f t="shared" si="4"/>
        <v>-80.562489999999997</v>
      </c>
      <c r="E44" s="9" t="s">
        <v>88</v>
      </c>
      <c r="F44" s="18">
        <v>0.22777777777777777</v>
      </c>
      <c r="G44">
        <v>9.5</v>
      </c>
      <c r="H44">
        <v>716</v>
      </c>
      <c r="I44">
        <v>93.9</v>
      </c>
      <c r="J44">
        <v>10.71</v>
      </c>
      <c r="K44">
        <v>120.6</v>
      </c>
      <c r="L44">
        <v>78</v>
      </c>
      <c r="M44">
        <v>5.28</v>
      </c>
      <c r="O44">
        <v>0.08</v>
      </c>
      <c r="P44">
        <v>0.04</v>
      </c>
      <c r="Q44">
        <v>0.24199999999999999</v>
      </c>
      <c r="R44" s="18">
        <v>0.22847222222222222</v>
      </c>
      <c r="S44">
        <v>9.6</v>
      </c>
      <c r="T44">
        <v>716.1</v>
      </c>
      <c r="U44">
        <v>94.3</v>
      </c>
      <c r="V44">
        <v>10.76</v>
      </c>
      <c r="W44">
        <v>121.6</v>
      </c>
      <c r="X44">
        <v>79</v>
      </c>
      <c r="Y44">
        <v>4.41</v>
      </c>
      <c r="AA44">
        <v>7.0000000000000007E-2</v>
      </c>
      <c r="AB44">
        <v>0.01</v>
      </c>
      <c r="AC44">
        <v>0.55200000000000005</v>
      </c>
      <c r="AD44">
        <v>5620</v>
      </c>
      <c r="AE44" s="27">
        <f t="shared" si="5"/>
        <v>4.8450000000000006</v>
      </c>
      <c r="AF44" s="1">
        <v>2.96</v>
      </c>
      <c r="AM44" s="1"/>
    </row>
    <row r="45" spans="1:39" ht="15.75" customHeight="1" x14ac:dyDescent="0.15">
      <c r="A45" s="26">
        <v>45364</v>
      </c>
      <c r="B45" s="1" t="s">
        <v>89</v>
      </c>
      <c r="C45" s="10" t="str">
        <f t="shared" si="3"/>
        <v>37.14343</v>
      </c>
      <c r="D45" s="11">
        <f t="shared" si="4"/>
        <v>-80.563190000000006</v>
      </c>
      <c r="E45" s="9" t="s">
        <v>90</v>
      </c>
      <c r="F45" s="18">
        <v>0.24166666666666667</v>
      </c>
      <c r="G45">
        <v>9.8000000000000007</v>
      </c>
      <c r="H45">
        <v>716.2</v>
      </c>
      <c r="I45">
        <v>94.3</v>
      </c>
      <c r="J45">
        <v>10.69</v>
      </c>
      <c r="K45">
        <v>119.1</v>
      </c>
      <c r="L45">
        <v>77</v>
      </c>
      <c r="M45">
        <v>2.8</v>
      </c>
      <c r="O45">
        <v>0.1</v>
      </c>
      <c r="P45">
        <v>0.01</v>
      </c>
      <c r="Q45">
        <v>0.32500000000000001</v>
      </c>
      <c r="R45" s="18"/>
      <c r="AD45">
        <v>5620</v>
      </c>
      <c r="AE45" s="27">
        <f t="shared" si="5"/>
        <v>2.8</v>
      </c>
      <c r="AF45" s="1">
        <v>2.96</v>
      </c>
      <c r="AM45" s="1"/>
    </row>
    <row r="46" spans="1:39" ht="15.75" customHeight="1" x14ac:dyDescent="0.15">
      <c r="A46" s="26">
        <v>45364</v>
      </c>
      <c r="B46" s="1" t="s">
        <v>91</v>
      </c>
      <c r="C46" s="10" t="str">
        <f t="shared" si="3"/>
        <v>37.14346</v>
      </c>
      <c r="D46" s="11">
        <f t="shared" si="4"/>
        <v>-80.562709999999996</v>
      </c>
      <c r="E46" s="9" t="s">
        <v>92</v>
      </c>
      <c r="F46" s="18">
        <v>0.24374999999999999</v>
      </c>
      <c r="G46">
        <v>10</v>
      </c>
      <c r="H46">
        <v>716.2</v>
      </c>
      <c r="I46">
        <v>95.8</v>
      </c>
      <c r="J46">
        <v>10.79</v>
      </c>
      <c r="K46">
        <v>119.5</v>
      </c>
      <c r="L46">
        <v>78</v>
      </c>
      <c r="M46">
        <v>2.63</v>
      </c>
      <c r="O46">
        <v>0.14000000000000001</v>
      </c>
      <c r="P46">
        <v>0.05</v>
      </c>
      <c r="Q46">
        <v>0.28799999999999998</v>
      </c>
      <c r="R46" s="18">
        <v>0.24374999999999999</v>
      </c>
      <c r="S46">
        <v>10.1</v>
      </c>
      <c r="T46">
        <v>716.2</v>
      </c>
      <c r="U46">
        <v>94.3</v>
      </c>
      <c r="V46">
        <v>10.61</v>
      </c>
      <c r="W46">
        <v>119.4</v>
      </c>
      <c r="X46">
        <v>78</v>
      </c>
      <c r="Y46">
        <v>2.5099999999999998</v>
      </c>
      <c r="AA46">
        <v>7.0000000000000007E-2</v>
      </c>
      <c r="AB46">
        <v>-0.01</v>
      </c>
      <c r="AC46">
        <v>0.92400000000000004</v>
      </c>
      <c r="AD46">
        <v>5620</v>
      </c>
      <c r="AE46" s="27">
        <f t="shared" si="5"/>
        <v>2.57</v>
      </c>
      <c r="AF46" s="1">
        <v>2.96</v>
      </c>
      <c r="AM46" s="1"/>
    </row>
    <row r="47" spans="1:39" ht="15.75" customHeight="1" x14ac:dyDescent="0.15">
      <c r="A47" s="26">
        <v>45367</v>
      </c>
      <c r="B47" s="1" t="s">
        <v>93</v>
      </c>
      <c r="C47" s="10" t="str">
        <f t="shared" si="3"/>
        <v>37.19752</v>
      </c>
      <c r="D47" s="11">
        <f t="shared" si="4"/>
        <v>-80.563910000000007</v>
      </c>
      <c r="E47" t="s">
        <v>94</v>
      </c>
      <c r="F47" s="18">
        <v>0.52916666666666667</v>
      </c>
      <c r="G47">
        <v>10.7</v>
      </c>
      <c r="H47">
        <v>717</v>
      </c>
      <c r="I47">
        <v>87</v>
      </c>
      <c r="J47">
        <v>9.66</v>
      </c>
      <c r="K47">
        <v>127.1</v>
      </c>
      <c r="L47">
        <v>83</v>
      </c>
      <c r="M47">
        <v>6.52</v>
      </c>
      <c r="O47">
        <v>-0.01</v>
      </c>
      <c r="P47">
        <v>-0.03</v>
      </c>
      <c r="Q47">
        <v>0.26</v>
      </c>
      <c r="R47" s="18">
        <v>0.52986111111111112</v>
      </c>
      <c r="S47">
        <v>10.6</v>
      </c>
      <c r="T47">
        <v>717</v>
      </c>
      <c r="U47">
        <v>89.3</v>
      </c>
      <c r="V47">
        <v>9.94</v>
      </c>
      <c r="W47">
        <v>128</v>
      </c>
      <c r="X47">
        <v>83</v>
      </c>
      <c r="Y47">
        <v>11.9</v>
      </c>
      <c r="AA47">
        <v>0.13</v>
      </c>
      <c r="AB47">
        <v>0</v>
      </c>
      <c r="AC47">
        <v>1.518</v>
      </c>
      <c r="AD47">
        <v>4710</v>
      </c>
      <c r="AE47" s="27">
        <f t="shared" si="5"/>
        <v>9.2100000000000009</v>
      </c>
      <c r="AF47" s="1">
        <v>2.57</v>
      </c>
      <c r="AM47" s="1"/>
    </row>
    <row r="48" spans="1:39" ht="15.75" customHeight="1" x14ac:dyDescent="0.15">
      <c r="A48" s="26">
        <v>45367</v>
      </c>
      <c r="B48" s="1" t="s">
        <v>95</v>
      </c>
      <c r="C48" s="10" t="str">
        <f t="shared" si="3"/>
        <v>37.19775</v>
      </c>
      <c r="D48" s="11">
        <f t="shared" si="4"/>
        <v>-80.564689999999999</v>
      </c>
      <c r="E48" t="s">
        <v>96</v>
      </c>
      <c r="F48" s="18">
        <v>0.53125</v>
      </c>
      <c r="G48">
        <v>10.5</v>
      </c>
      <c r="H48">
        <v>716.9</v>
      </c>
      <c r="I48">
        <v>90.2</v>
      </c>
      <c r="J48">
        <v>10.06</v>
      </c>
      <c r="K48">
        <v>127.8</v>
      </c>
      <c r="L48">
        <v>83</v>
      </c>
      <c r="M48">
        <v>4.2699999999999996</v>
      </c>
      <c r="O48">
        <v>0.08</v>
      </c>
      <c r="P48">
        <v>0.02</v>
      </c>
      <c r="Q48">
        <v>0.315</v>
      </c>
      <c r="R48" s="18">
        <v>0.53125</v>
      </c>
      <c r="S48">
        <v>10.5</v>
      </c>
      <c r="T48">
        <v>717</v>
      </c>
      <c r="U48">
        <v>90.3</v>
      </c>
      <c r="V48">
        <v>10.07</v>
      </c>
      <c r="W48">
        <v>127.6</v>
      </c>
      <c r="X48">
        <v>83</v>
      </c>
      <c r="Y48">
        <v>3.78</v>
      </c>
      <c r="AA48">
        <v>0.09</v>
      </c>
      <c r="AB48">
        <v>0.02</v>
      </c>
      <c r="AC48">
        <v>1.6919999999999999</v>
      </c>
      <c r="AD48">
        <v>4710</v>
      </c>
      <c r="AE48" s="27">
        <f t="shared" si="5"/>
        <v>4.0249999999999995</v>
      </c>
      <c r="AF48" s="1">
        <v>2.57</v>
      </c>
      <c r="AM48" s="1"/>
    </row>
    <row r="49" spans="1:39" ht="15.75" customHeight="1" x14ac:dyDescent="0.15">
      <c r="A49" s="26">
        <v>45367</v>
      </c>
      <c r="B49" s="1" t="s">
        <v>97</v>
      </c>
      <c r="C49" s="10" t="str">
        <f t="shared" si="3"/>
        <v>37.19835</v>
      </c>
      <c r="D49" s="11">
        <f t="shared" si="4"/>
        <v>-80.565060000000003</v>
      </c>
      <c r="E49" t="s">
        <v>98</v>
      </c>
      <c r="F49" s="18">
        <v>0.53402777777777777</v>
      </c>
      <c r="G49">
        <v>10.5</v>
      </c>
      <c r="H49">
        <v>716.9</v>
      </c>
      <c r="I49">
        <v>90.8</v>
      </c>
      <c r="J49">
        <v>10.130000000000001</v>
      </c>
      <c r="K49">
        <v>130.80000000000001</v>
      </c>
      <c r="L49">
        <v>85</v>
      </c>
      <c r="M49">
        <v>2.23</v>
      </c>
      <c r="O49">
        <v>7.0000000000000007E-2</v>
      </c>
      <c r="P49">
        <v>0.02</v>
      </c>
      <c r="Q49">
        <v>0.33800000000000002</v>
      </c>
      <c r="R49" s="18">
        <v>0.53402777777777777</v>
      </c>
      <c r="S49">
        <v>10.5</v>
      </c>
      <c r="T49">
        <v>716.9</v>
      </c>
      <c r="U49">
        <v>90.7</v>
      </c>
      <c r="V49">
        <v>10.130000000000001</v>
      </c>
      <c r="W49">
        <v>130.69999999999999</v>
      </c>
      <c r="X49">
        <v>85</v>
      </c>
      <c r="Y49">
        <v>2.2999999999999998</v>
      </c>
      <c r="AA49">
        <v>0.09</v>
      </c>
      <c r="AB49">
        <v>0.04</v>
      </c>
      <c r="AC49">
        <v>1.548</v>
      </c>
      <c r="AD49">
        <v>4710</v>
      </c>
      <c r="AE49" s="27">
        <f t="shared" si="5"/>
        <v>2.2649999999999997</v>
      </c>
      <c r="AF49" s="1">
        <v>2.57</v>
      </c>
      <c r="AM49" s="1"/>
    </row>
    <row r="50" spans="1:39" ht="15.75" customHeight="1" x14ac:dyDescent="0.15">
      <c r="A50" s="26">
        <v>45375</v>
      </c>
      <c r="B50" s="1" t="s">
        <v>99</v>
      </c>
      <c r="C50" s="10" t="str">
        <f t="shared" si="3"/>
        <v>37.14419</v>
      </c>
      <c r="D50" s="11">
        <f t="shared" si="4"/>
        <v>-80.563079999999999</v>
      </c>
      <c r="E50" t="s">
        <v>100</v>
      </c>
      <c r="F50" s="18">
        <v>0.52638888888888891</v>
      </c>
      <c r="G50">
        <v>10.199999999999999</v>
      </c>
      <c r="H50">
        <v>722.3</v>
      </c>
      <c r="I50">
        <v>93.4</v>
      </c>
      <c r="J50">
        <v>10.49</v>
      </c>
      <c r="K50">
        <v>109.6</v>
      </c>
      <c r="L50">
        <v>71</v>
      </c>
      <c r="M50">
        <v>6.27</v>
      </c>
      <c r="O50">
        <v>7.0000000000000007E-2</v>
      </c>
      <c r="P50">
        <v>-0.02</v>
      </c>
      <c r="Q50">
        <v>0.36199999999999999</v>
      </c>
      <c r="R50" s="18">
        <v>0.52708333333333335</v>
      </c>
      <c r="S50">
        <v>10.199999999999999</v>
      </c>
      <c r="T50">
        <v>722.2</v>
      </c>
      <c r="U50">
        <v>94.4</v>
      </c>
      <c r="V50">
        <v>10.61</v>
      </c>
      <c r="W50">
        <v>110.5</v>
      </c>
      <c r="X50">
        <v>72</v>
      </c>
      <c r="Y50">
        <v>6.15</v>
      </c>
      <c r="AA50">
        <v>0.13</v>
      </c>
      <c r="AB50">
        <v>-0.01</v>
      </c>
      <c r="AC50">
        <v>1.204</v>
      </c>
      <c r="AD50">
        <v>5370</v>
      </c>
      <c r="AE50" s="27">
        <f t="shared" si="5"/>
        <v>6.21</v>
      </c>
      <c r="AF50" s="1">
        <v>2.94</v>
      </c>
      <c r="AM50" s="1"/>
    </row>
    <row r="51" spans="1:39" ht="15.75" customHeight="1" x14ac:dyDescent="0.15">
      <c r="A51" s="26">
        <v>45375</v>
      </c>
      <c r="B51" s="1" t="s">
        <v>101</v>
      </c>
      <c r="C51" s="10" t="str">
        <f t="shared" si="3"/>
        <v>37.14426</v>
      </c>
      <c r="D51" s="11">
        <f t="shared" si="4"/>
        <v>-80.562299999999993</v>
      </c>
      <c r="E51" t="s">
        <v>102</v>
      </c>
      <c r="F51" s="18">
        <v>0.52847222222222223</v>
      </c>
      <c r="G51">
        <v>10.1</v>
      </c>
      <c r="H51">
        <v>722.1</v>
      </c>
      <c r="I51">
        <v>96.1</v>
      </c>
      <c r="J51">
        <v>10.82</v>
      </c>
      <c r="K51">
        <v>107.7</v>
      </c>
      <c r="L51">
        <v>70</v>
      </c>
      <c r="M51">
        <v>2.37</v>
      </c>
      <c r="O51">
        <v>0.13</v>
      </c>
      <c r="P51">
        <v>-0.01</v>
      </c>
      <c r="Q51">
        <v>0.217</v>
      </c>
      <c r="R51" s="18">
        <v>0.52847222222222223</v>
      </c>
      <c r="S51">
        <v>10.1</v>
      </c>
      <c r="T51">
        <v>722.2</v>
      </c>
      <c r="U51">
        <v>96.1</v>
      </c>
      <c r="V51">
        <v>10.81</v>
      </c>
      <c r="W51">
        <v>107.9</v>
      </c>
      <c r="X51">
        <v>70</v>
      </c>
      <c r="Y51">
        <v>2.4300000000000002</v>
      </c>
      <c r="AA51">
        <v>0.09</v>
      </c>
      <c r="AB51">
        <v>0</v>
      </c>
      <c r="AC51">
        <v>1.3180000000000001</v>
      </c>
      <c r="AD51">
        <v>5350</v>
      </c>
      <c r="AE51" s="27">
        <f t="shared" si="5"/>
        <v>2.4000000000000004</v>
      </c>
      <c r="AF51" s="1">
        <v>2.94</v>
      </c>
      <c r="AM51" s="1"/>
    </row>
    <row r="52" spans="1:39" ht="15.75" customHeight="1" x14ac:dyDescent="0.15">
      <c r="A52" s="26">
        <v>45375</v>
      </c>
      <c r="B52" s="1" t="s">
        <v>103</v>
      </c>
      <c r="C52" s="10" t="str">
        <f t="shared" si="3"/>
        <v>37.14366</v>
      </c>
      <c r="D52" s="11">
        <f t="shared" si="4"/>
        <v>-80.562219999999996</v>
      </c>
      <c r="E52" t="s">
        <v>104</v>
      </c>
      <c r="F52" s="18">
        <v>0.53194444444444444</v>
      </c>
      <c r="G52">
        <v>10.1</v>
      </c>
      <c r="H52">
        <v>722.3</v>
      </c>
      <c r="I52">
        <v>95</v>
      </c>
      <c r="J52">
        <v>10.7</v>
      </c>
      <c r="K52">
        <v>130.9</v>
      </c>
      <c r="L52">
        <v>85</v>
      </c>
      <c r="M52">
        <v>3.38</v>
      </c>
      <c r="O52">
        <v>7.0000000000000007E-2</v>
      </c>
      <c r="P52">
        <v>0.03</v>
      </c>
      <c r="Q52">
        <v>0.34799999999999998</v>
      </c>
      <c r="R52" s="18">
        <v>0.53194444444444444</v>
      </c>
      <c r="S52">
        <v>10.1</v>
      </c>
      <c r="T52">
        <v>722.3</v>
      </c>
      <c r="U52">
        <v>95.2</v>
      </c>
      <c r="V52">
        <v>10.71</v>
      </c>
      <c r="W52">
        <v>125.6</v>
      </c>
      <c r="X52">
        <v>82</v>
      </c>
      <c r="Y52">
        <v>3.07</v>
      </c>
      <c r="AA52">
        <v>7.0000000000000007E-2</v>
      </c>
      <c r="AB52">
        <v>-0.09</v>
      </c>
      <c r="AC52">
        <v>1.4650000000000001</v>
      </c>
      <c r="AD52">
        <v>5350</v>
      </c>
      <c r="AE52" s="27">
        <f t="shared" si="5"/>
        <v>3.2249999999999996</v>
      </c>
      <c r="AF52" s="1">
        <v>2.94</v>
      </c>
      <c r="AM52" s="1"/>
    </row>
    <row r="53" spans="1:39" ht="15.75" customHeight="1" x14ac:dyDescent="0.15">
      <c r="A53" s="26">
        <v>45389</v>
      </c>
      <c r="B53" s="1" t="s">
        <v>105</v>
      </c>
      <c r="C53" s="10" t="str">
        <f t="shared" si="3"/>
        <v>37.19753</v>
      </c>
      <c r="D53" s="11">
        <f t="shared" si="4"/>
        <v>-80.563969999999998</v>
      </c>
      <c r="E53" t="s">
        <v>106</v>
      </c>
      <c r="F53" s="18">
        <v>0.49722222222222223</v>
      </c>
      <c r="G53">
        <v>11.4</v>
      </c>
      <c r="H53">
        <v>722.6</v>
      </c>
      <c r="I53">
        <v>101.2</v>
      </c>
      <c r="J53">
        <v>11.05</v>
      </c>
      <c r="K53">
        <v>124.7</v>
      </c>
      <c r="L53">
        <v>81</v>
      </c>
      <c r="M53">
        <v>4.0199999999999996</v>
      </c>
      <c r="O53">
        <v>0.1</v>
      </c>
      <c r="P53">
        <v>0.04</v>
      </c>
      <c r="Q53">
        <v>0.30399999999999999</v>
      </c>
      <c r="R53" s="18">
        <v>0.49791666666666667</v>
      </c>
      <c r="S53">
        <v>11.4</v>
      </c>
      <c r="T53">
        <v>722.6</v>
      </c>
      <c r="U53">
        <v>101.5</v>
      </c>
      <c r="V53">
        <v>11.09</v>
      </c>
      <c r="W53">
        <v>124.7</v>
      </c>
      <c r="X53">
        <v>81</v>
      </c>
      <c r="Y53">
        <v>3.47</v>
      </c>
      <c r="AA53">
        <v>0.06</v>
      </c>
      <c r="AB53">
        <v>-0.06</v>
      </c>
      <c r="AC53">
        <v>0.96599999999999997</v>
      </c>
      <c r="AD53">
        <v>3830</v>
      </c>
      <c r="AE53" s="27">
        <f t="shared" si="5"/>
        <v>3.7450000000000001</v>
      </c>
      <c r="AF53" s="1">
        <v>2.1800000000000002</v>
      </c>
    </row>
    <row r="54" spans="1:39" ht="15.75" customHeight="1" x14ac:dyDescent="0.15">
      <c r="A54" s="26">
        <v>45389</v>
      </c>
      <c r="B54" s="1" t="s">
        <v>107</v>
      </c>
      <c r="C54" s="10" t="str">
        <f t="shared" si="3"/>
        <v>37.19913</v>
      </c>
      <c r="D54" s="11">
        <f t="shared" si="4"/>
        <v>-80.561989999999994</v>
      </c>
      <c r="E54" t="s">
        <v>108</v>
      </c>
      <c r="F54" s="18">
        <v>0.52847222222222223</v>
      </c>
      <c r="G54">
        <v>11.2</v>
      </c>
      <c r="H54">
        <v>722.3</v>
      </c>
      <c r="I54">
        <v>99.9</v>
      </c>
      <c r="J54">
        <v>10.95</v>
      </c>
      <c r="K54">
        <v>124.3</v>
      </c>
      <c r="L54">
        <v>81</v>
      </c>
      <c r="M54">
        <v>3.82</v>
      </c>
      <c r="O54">
        <v>0.13</v>
      </c>
      <c r="P54">
        <v>0</v>
      </c>
      <c r="Q54">
        <v>0.32500000000000001</v>
      </c>
      <c r="R54" s="18">
        <v>0.52916666666666667</v>
      </c>
      <c r="S54">
        <v>11.2</v>
      </c>
      <c r="T54">
        <v>722.2</v>
      </c>
      <c r="U54">
        <v>100.6</v>
      </c>
      <c r="V54">
        <v>11.04</v>
      </c>
      <c r="W54">
        <v>124.5</v>
      </c>
      <c r="X54">
        <v>81</v>
      </c>
      <c r="Y54">
        <v>3.21</v>
      </c>
      <c r="AA54">
        <v>0.11</v>
      </c>
      <c r="AB54">
        <v>-0.01</v>
      </c>
      <c r="AC54">
        <v>0.94</v>
      </c>
      <c r="AD54">
        <v>3910</v>
      </c>
      <c r="AE54" s="27">
        <f t="shared" si="5"/>
        <v>3.5149999999999997</v>
      </c>
      <c r="AF54" s="1">
        <v>2.1800000000000002</v>
      </c>
    </row>
    <row r="55" spans="1:39" ht="15.75" customHeight="1" x14ac:dyDescent="0.15">
      <c r="A55" s="26">
        <v>45389</v>
      </c>
      <c r="B55" s="1" t="s">
        <v>109</v>
      </c>
      <c r="C55" s="10" t="str">
        <f t="shared" si="3"/>
        <v>37.19835</v>
      </c>
      <c r="D55" s="11">
        <f t="shared" si="4"/>
        <v>-80.565100000000001</v>
      </c>
      <c r="E55" t="s">
        <v>110</v>
      </c>
      <c r="F55" s="18">
        <v>0.53541666666666665</v>
      </c>
      <c r="G55">
        <v>11.4</v>
      </c>
      <c r="H55">
        <v>722.2</v>
      </c>
      <c r="I55">
        <v>102.2</v>
      </c>
      <c r="J55">
        <v>11.17</v>
      </c>
      <c r="K55">
        <v>126.9</v>
      </c>
      <c r="L55">
        <v>82</v>
      </c>
      <c r="M55">
        <v>1.34</v>
      </c>
      <c r="O55">
        <v>7.0000000000000007E-2</v>
      </c>
      <c r="P55">
        <v>0.02</v>
      </c>
      <c r="Q55">
        <v>0.33400000000000002</v>
      </c>
      <c r="R55" s="18">
        <v>0.53541666666666665</v>
      </c>
      <c r="S55">
        <v>11.4</v>
      </c>
      <c r="T55">
        <v>722.2</v>
      </c>
      <c r="U55">
        <v>102.4</v>
      </c>
      <c r="V55">
        <v>11.19</v>
      </c>
      <c r="W55">
        <v>127.2</v>
      </c>
      <c r="X55">
        <v>83</v>
      </c>
      <c r="Y55">
        <v>1.42</v>
      </c>
      <c r="AA55">
        <v>7.0000000000000007E-2</v>
      </c>
      <c r="AB55">
        <v>0.01</v>
      </c>
      <c r="AC55">
        <v>0.65700000000000003</v>
      </c>
      <c r="AD55">
        <v>3910</v>
      </c>
      <c r="AE55" s="27">
        <f t="shared" si="5"/>
        <v>1.38</v>
      </c>
      <c r="AF55" s="1">
        <v>2.1800000000000002</v>
      </c>
    </row>
    <row r="56" spans="1:39" ht="15.75" customHeight="1" x14ac:dyDescent="0.15">
      <c r="A56" s="26">
        <v>45389</v>
      </c>
      <c r="B56" s="1" t="s">
        <v>111</v>
      </c>
      <c r="C56" s="10" t="str">
        <f t="shared" si="3"/>
        <v>37.20054</v>
      </c>
      <c r="D56" s="11">
        <f t="shared" si="4"/>
        <v>-80.553629999999998</v>
      </c>
      <c r="E56" t="s">
        <v>112</v>
      </c>
      <c r="F56" s="18">
        <v>0.51458333333333328</v>
      </c>
      <c r="G56">
        <v>11.4</v>
      </c>
      <c r="H56">
        <v>722.4</v>
      </c>
      <c r="I56">
        <v>100.2</v>
      </c>
      <c r="J56">
        <v>10.95</v>
      </c>
      <c r="K56">
        <v>123.4</v>
      </c>
      <c r="L56">
        <v>80</v>
      </c>
      <c r="M56">
        <v>5.04</v>
      </c>
      <c r="O56">
        <v>0.04</v>
      </c>
      <c r="P56">
        <v>-0.02</v>
      </c>
      <c r="Q56">
        <v>0.26900000000000002</v>
      </c>
      <c r="R56" s="18">
        <v>0.51458333333333328</v>
      </c>
      <c r="S56">
        <v>11.4</v>
      </c>
      <c r="T56">
        <v>722.5</v>
      </c>
      <c r="U56">
        <v>101.9</v>
      </c>
      <c r="V56">
        <v>11.14</v>
      </c>
      <c r="W56">
        <v>123.2</v>
      </c>
      <c r="X56">
        <v>80</v>
      </c>
      <c r="Y56">
        <v>5.1100000000000003</v>
      </c>
      <c r="AA56">
        <v>0.13</v>
      </c>
      <c r="AB56">
        <v>-0.04</v>
      </c>
      <c r="AC56">
        <v>0.48799999999999999</v>
      </c>
      <c r="AD56">
        <v>3870</v>
      </c>
      <c r="AE56" s="27">
        <f t="shared" si="5"/>
        <v>5.0750000000000002</v>
      </c>
      <c r="AF56" s="1">
        <v>2.1800000000000002</v>
      </c>
    </row>
    <row r="57" spans="1:39" ht="15.75" customHeight="1" x14ac:dyDescent="0.2">
      <c r="A57" s="28">
        <v>45410</v>
      </c>
      <c r="B57" s="25" t="s">
        <v>113</v>
      </c>
      <c r="C57" s="25">
        <v>37.144039999999997</v>
      </c>
      <c r="D57" s="25">
        <v>-80.563419999999994</v>
      </c>
      <c r="E57" s="29" t="s">
        <v>114</v>
      </c>
      <c r="F57" s="18">
        <v>0.54027777777777775</v>
      </c>
      <c r="G57">
        <v>16.3</v>
      </c>
      <c r="H57">
        <v>723.1</v>
      </c>
      <c r="I57">
        <v>97.2</v>
      </c>
      <c r="J57">
        <v>9.5399999999999991</v>
      </c>
      <c r="K57">
        <v>101.7</v>
      </c>
      <c r="L57">
        <v>66</v>
      </c>
      <c r="M57">
        <v>2.0299999999999998</v>
      </c>
      <c r="N57">
        <v>0.4</v>
      </c>
      <c r="O57">
        <v>0.14000000000000001</v>
      </c>
      <c r="P57">
        <v>0.01</v>
      </c>
      <c r="Q57">
        <v>0.23400000000000001</v>
      </c>
      <c r="R57" s="18">
        <v>0.54027777777777775</v>
      </c>
      <c r="S57">
        <v>16.3</v>
      </c>
      <c r="T57">
        <v>723.1</v>
      </c>
      <c r="U57">
        <v>97.6</v>
      </c>
      <c r="V57">
        <v>9.57</v>
      </c>
      <c r="W57">
        <v>102.7</v>
      </c>
      <c r="X57">
        <v>67</v>
      </c>
      <c r="Y57">
        <v>2.2400000000000002</v>
      </c>
      <c r="Z57">
        <v>0.48</v>
      </c>
      <c r="AA57">
        <v>0.18</v>
      </c>
      <c r="AB57">
        <v>-0.01</v>
      </c>
      <c r="AC57">
        <v>0.59199999999999997</v>
      </c>
      <c r="AD57">
        <v>3120</v>
      </c>
      <c r="AE57" s="27">
        <f t="shared" si="5"/>
        <v>2.1349999999999998</v>
      </c>
      <c r="AF57" s="1">
        <v>2.1</v>
      </c>
    </row>
    <row r="58" spans="1:39" ht="15.75" customHeight="1" x14ac:dyDescent="0.2">
      <c r="A58" s="28">
        <v>45410</v>
      </c>
      <c r="B58" s="25" t="s">
        <v>115</v>
      </c>
      <c r="C58" s="25">
        <v>37.143880000000003</v>
      </c>
      <c r="D58" s="25">
        <v>-80.562920000000005</v>
      </c>
      <c r="E58" s="29" t="s">
        <v>116</v>
      </c>
      <c r="F58" s="18">
        <v>4.1666666666666664E-2</v>
      </c>
      <c r="G58">
        <v>16.3</v>
      </c>
      <c r="H58">
        <v>723.2</v>
      </c>
      <c r="I58">
        <v>99.6</v>
      </c>
      <c r="J58">
        <v>9.77</v>
      </c>
      <c r="K58">
        <v>96.5</v>
      </c>
      <c r="L58">
        <v>63</v>
      </c>
      <c r="M58">
        <v>1.68</v>
      </c>
      <c r="N58">
        <v>0.51</v>
      </c>
      <c r="O58">
        <v>0.19</v>
      </c>
      <c r="P58">
        <v>0.01</v>
      </c>
      <c r="Q58">
        <v>0.33200000000000002</v>
      </c>
      <c r="R58" s="18">
        <v>4.2361111111111113E-2</v>
      </c>
      <c r="S58">
        <v>16.3</v>
      </c>
      <c r="T58">
        <v>723.2</v>
      </c>
      <c r="U58">
        <v>100.3</v>
      </c>
      <c r="V58">
        <v>9.83</v>
      </c>
      <c r="W58">
        <v>96.8</v>
      </c>
      <c r="X58">
        <v>63</v>
      </c>
      <c r="Y58">
        <v>1.74</v>
      </c>
      <c r="Z58">
        <v>0.46</v>
      </c>
      <c r="AA58">
        <v>0.17</v>
      </c>
      <c r="AB58">
        <v>0.02</v>
      </c>
      <c r="AC58">
        <v>0.83</v>
      </c>
      <c r="AD58">
        <v>3120</v>
      </c>
      <c r="AE58" s="27">
        <f t="shared" si="5"/>
        <v>1.71</v>
      </c>
      <c r="AF58" s="1">
        <v>2.1</v>
      </c>
    </row>
    <row r="59" spans="1:39" ht="15.75" customHeight="1" x14ac:dyDescent="0.2">
      <c r="A59" s="28">
        <v>45410</v>
      </c>
      <c r="B59" s="25" t="s">
        <v>117</v>
      </c>
      <c r="C59" s="25">
        <v>37.14358</v>
      </c>
      <c r="D59" s="25">
        <v>-80.562430000000006</v>
      </c>
      <c r="E59" s="29" t="s">
        <v>118</v>
      </c>
      <c r="F59" s="18">
        <v>4.3749999999999997E-2</v>
      </c>
      <c r="G59">
        <v>17</v>
      </c>
      <c r="H59">
        <v>723.2</v>
      </c>
      <c r="I59">
        <v>105.3</v>
      </c>
      <c r="J59">
        <v>10.17</v>
      </c>
      <c r="K59">
        <v>104.4</v>
      </c>
      <c r="L59">
        <v>68</v>
      </c>
      <c r="M59">
        <v>4.28</v>
      </c>
      <c r="N59">
        <v>0.32</v>
      </c>
      <c r="O59">
        <v>0.11</v>
      </c>
      <c r="P59">
        <v>0.01</v>
      </c>
      <c r="Q59">
        <v>0.27500000000000002</v>
      </c>
      <c r="R59" s="18">
        <v>4.4444444444444446E-2</v>
      </c>
      <c r="S59">
        <v>17.100000000000001</v>
      </c>
      <c r="T59">
        <v>723.1</v>
      </c>
      <c r="U59">
        <v>107.7</v>
      </c>
      <c r="V59">
        <v>10.39</v>
      </c>
      <c r="W59">
        <v>102.9</v>
      </c>
      <c r="X59">
        <v>67</v>
      </c>
      <c r="Y59">
        <v>1.45</v>
      </c>
      <c r="Z59">
        <v>0.35</v>
      </c>
      <c r="AA59">
        <v>0.12</v>
      </c>
      <c r="AB59">
        <v>-0.01</v>
      </c>
      <c r="AC59">
        <v>1.016</v>
      </c>
      <c r="AD59">
        <v>3120</v>
      </c>
      <c r="AE59" s="27">
        <f t="shared" si="5"/>
        <v>2.8650000000000002</v>
      </c>
      <c r="AF59" s="1">
        <v>2.1</v>
      </c>
    </row>
    <row r="60" spans="1:39" ht="15.75" customHeight="1" x14ac:dyDescent="0.15">
      <c r="A60" s="26">
        <v>45413</v>
      </c>
      <c r="B60" s="1" t="s">
        <v>119</v>
      </c>
      <c r="C60">
        <v>37.198430000000002</v>
      </c>
      <c r="D60">
        <v>-80.565070000000006</v>
      </c>
      <c r="E60" t="str">
        <f t="shared" ref="E60:E102" si="6">_xlfn.CONCAT(C60, " N, ", -1* D60, " W")</f>
        <v>37.19843 N, 80.56507 W</v>
      </c>
      <c r="F60" s="18">
        <v>5.347222222222222E-2</v>
      </c>
      <c r="G60">
        <v>17.2</v>
      </c>
      <c r="H60">
        <v>719.1</v>
      </c>
      <c r="I60">
        <v>100.6</v>
      </c>
      <c r="J60">
        <v>9.67</v>
      </c>
      <c r="K60">
        <v>115.7</v>
      </c>
      <c r="L60">
        <v>75</v>
      </c>
      <c r="M60">
        <v>1.17</v>
      </c>
      <c r="N60">
        <v>0.41</v>
      </c>
      <c r="O60">
        <v>0.15</v>
      </c>
      <c r="P60">
        <v>-0.01</v>
      </c>
      <c r="Q60">
        <v>8.3000000000000004E-2</v>
      </c>
      <c r="R60" s="18">
        <v>5.4166666666666669E-2</v>
      </c>
      <c r="S60">
        <v>17.2</v>
      </c>
      <c r="T60">
        <v>719.2</v>
      </c>
      <c r="U60">
        <v>103</v>
      </c>
      <c r="V60">
        <v>9.9</v>
      </c>
      <c r="W60">
        <v>115.6</v>
      </c>
      <c r="X60">
        <v>75</v>
      </c>
      <c r="Y60">
        <v>1.63</v>
      </c>
      <c r="Z60">
        <v>0.28999999999999998</v>
      </c>
      <c r="AA60">
        <v>0.09</v>
      </c>
      <c r="AB60">
        <v>0.02</v>
      </c>
      <c r="AC60">
        <v>0.74399999999999999</v>
      </c>
      <c r="AD60">
        <v>2730</v>
      </c>
      <c r="AE60" s="27">
        <f t="shared" si="5"/>
        <v>1.4</v>
      </c>
      <c r="AF60" s="1">
        <v>2.04</v>
      </c>
    </row>
    <row r="61" spans="1:39" ht="15.75" customHeight="1" x14ac:dyDescent="0.2">
      <c r="A61" s="26">
        <v>45413</v>
      </c>
      <c r="B61" s="1" t="s">
        <v>120</v>
      </c>
      <c r="C61" s="30">
        <v>37.197600000000001</v>
      </c>
      <c r="D61">
        <v>-80.563770000000005</v>
      </c>
      <c r="E61" t="str">
        <f t="shared" si="6"/>
        <v>37.1976 N, 80.56377 W</v>
      </c>
      <c r="F61" s="18">
        <v>5.6944444444444443E-2</v>
      </c>
      <c r="G61">
        <v>18</v>
      </c>
      <c r="H61">
        <v>719.1</v>
      </c>
      <c r="I61">
        <v>100</v>
      </c>
      <c r="J61" s="31">
        <v>9.86</v>
      </c>
      <c r="K61">
        <v>119</v>
      </c>
      <c r="L61">
        <v>77</v>
      </c>
      <c r="M61">
        <v>1.05</v>
      </c>
      <c r="N61">
        <v>0.26</v>
      </c>
      <c r="O61">
        <v>0.08</v>
      </c>
      <c r="P61">
        <v>-0.05</v>
      </c>
      <c r="Q61">
        <v>7.2999999999999995E-2</v>
      </c>
      <c r="R61" s="18">
        <v>5.6944444444444443E-2</v>
      </c>
      <c r="S61">
        <v>17.899999999999999</v>
      </c>
      <c r="T61">
        <v>719.1</v>
      </c>
      <c r="U61">
        <v>104.6</v>
      </c>
      <c r="V61">
        <v>9.92</v>
      </c>
      <c r="W61">
        <v>120.8</v>
      </c>
      <c r="X61">
        <v>79</v>
      </c>
      <c r="Y61">
        <v>1.18</v>
      </c>
      <c r="Z61">
        <v>0.32</v>
      </c>
      <c r="AA61">
        <v>0.11</v>
      </c>
      <c r="AB61">
        <v>-0.01</v>
      </c>
      <c r="AC61">
        <v>0.64900000000000002</v>
      </c>
      <c r="AD61">
        <v>2730</v>
      </c>
      <c r="AE61" s="27">
        <f t="shared" si="5"/>
        <v>1.115</v>
      </c>
      <c r="AF61" s="1">
        <v>2.04</v>
      </c>
    </row>
    <row r="62" spans="1:39" ht="15.75" customHeight="1" x14ac:dyDescent="0.15">
      <c r="A62" s="26">
        <v>45413</v>
      </c>
      <c r="B62" s="1" t="s">
        <v>121</v>
      </c>
      <c r="C62">
        <v>37.198009999999996</v>
      </c>
      <c r="D62">
        <v>-80.564580000000007</v>
      </c>
      <c r="E62" t="str">
        <f t="shared" si="6"/>
        <v>37.19801 N, 80.56458 W</v>
      </c>
      <c r="F62" s="18">
        <v>5.9722222222222225E-2</v>
      </c>
      <c r="G62">
        <v>17</v>
      </c>
      <c r="H62">
        <v>719</v>
      </c>
      <c r="I62">
        <v>103.2</v>
      </c>
      <c r="J62">
        <v>9.9700000000000006</v>
      </c>
      <c r="K62">
        <v>114.7</v>
      </c>
      <c r="L62">
        <v>75</v>
      </c>
      <c r="M62">
        <v>1.47</v>
      </c>
      <c r="N62">
        <v>0.3</v>
      </c>
      <c r="O62">
        <v>0.1</v>
      </c>
      <c r="P62">
        <v>0</v>
      </c>
      <c r="Q62">
        <v>0.29099999999999998</v>
      </c>
      <c r="R62" s="18">
        <v>6.0416666666666667E-2</v>
      </c>
      <c r="S62">
        <v>17</v>
      </c>
      <c r="T62">
        <v>719</v>
      </c>
      <c r="U62">
        <v>105.6</v>
      </c>
      <c r="V62">
        <v>10.199999999999999</v>
      </c>
      <c r="W62">
        <v>114.6</v>
      </c>
      <c r="X62">
        <v>75</v>
      </c>
      <c r="Y62">
        <v>1.24</v>
      </c>
      <c r="Z62">
        <v>0.28999999999999998</v>
      </c>
      <c r="AA62">
        <v>0.1</v>
      </c>
      <c r="AB62">
        <v>-0.03</v>
      </c>
      <c r="AC62">
        <v>0.53300000000000003</v>
      </c>
      <c r="AD62">
        <v>2760</v>
      </c>
      <c r="AE62" s="27">
        <f t="shared" si="5"/>
        <v>1.355</v>
      </c>
      <c r="AF62" s="1">
        <v>2.04</v>
      </c>
    </row>
    <row r="63" spans="1:39" ht="15.75" customHeight="1" x14ac:dyDescent="0.15">
      <c r="A63" s="26">
        <v>45422</v>
      </c>
      <c r="B63" s="25" t="s">
        <v>122</v>
      </c>
      <c r="C63">
        <v>37.14396</v>
      </c>
      <c r="D63">
        <v>-80.563630000000003</v>
      </c>
      <c r="E63" t="str">
        <f t="shared" si="6"/>
        <v>37.14396 N, 80.56363 W</v>
      </c>
      <c r="F63" s="18">
        <v>4.4444444444444446E-2</v>
      </c>
      <c r="G63">
        <v>18.100000000000001</v>
      </c>
      <c r="H63">
        <v>710.9</v>
      </c>
      <c r="I63">
        <v>96</v>
      </c>
      <c r="J63">
        <v>9.07</v>
      </c>
      <c r="K63">
        <v>100.1</v>
      </c>
      <c r="L63">
        <v>65</v>
      </c>
      <c r="M63">
        <v>4.03</v>
      </c>
      <c r="N63">
        <v>0.79</v>
      </c>
      <c r="O63">
        <v>0.31</v>
      </c>
      <c r="P63">
        <v>0</v>
      </c>
      <c r="Q63">
        <v>1.0999999999999999E-2</v>
      </c>
      <c r="R63" s="18">
        <v>4.4444444444444446E-2</v>
      </c>
      <c r="S63">
        <v>18</v>
      </c>
      <c r="T63">
        <v>710.9</v>
      </c>
      <c r="U63">
        <v>97.3</v>
      </c>
      <c r="V63">
        <v>9.2100000000000009</v>
      </c>
      <c r="W63">
        <v>99.7</v>
      </c>
      <c r="X63">
        <v>65</v>
      </c>
      <c r="Y63">
        <v>4.01</v>
      </c>
      <c r="Z63">
        <v>0.91</v>
      </c>
      <c r="AA63">
        <v>0.37</v>
      </c>
      <c r="AB63">
        <v>0</v>
      </c>
      <c r="AC63">
        <v>0.83799999999999997</v>
      </c>
      <c r="AD63">
        <v>3420</v>
      </c>
      <c r="AE63" s="27">
        <f t="shared" si="5"/>
        <v>4.0199999999999996</v>
      </c>
      <c r="AF63" s="1">
        <v>2.35</v>
      </c>
    </row>
    <row r="64" spans="1:39" ht="15.75" customHeight="1" x14ac:dyDescent="0.15">
      <c r="A64" s="26">
        <v>45422</v>
      </c>
      <c r="B64" s="25" t="s">
        <v>123</v>
      </c>
      <c r="C64">
        <v>37.143970000000003</v>
      </c>
      <c r="D64">
        <v>-80.562870000000004</v>
      </c>
      <c r="E64" t="str">
        <f t="shared" si="6"/>
        <v>37.14397 N, 80.56287 W</v>
      </c>
      <c r="F64" s="18">
        <v>4.583333333333333E-2</v>
      </c>
      <c r="G64">
        <v>18.100000000000001</v>
      </c>
      <c r="H64">
        <v>719.9</v>
      </c>
      <c r="I64">
        <v>98.2</v>
      </c>
      <c r="J64">
        <v>9.2799999999999994</v>
      </c>
      <c r="K64">
        <v>96.8</v>
      </c>
      <c r="L64">
        <v>63</v>
      </c>
      <c r="M64">
        <v>1.37</v>
      </c>
      <c r="N64">
        <v>0.83</v>
      </c>
      <c r="O64">
        <v>0.33</v>
      </c>
      <c r="P64">
        <v>0.06</v>
      </c>
      <c r="Q64">
        <v>0.09</v>
      </c>
      <c r="R64" s="18">
        <v>4.583333333333333E-2</v>
      </c>
      <c r="S64">
        <v>18.100000000000001</v>
      </c>
      <c r="T64">
        <v>710.9</v>
      </c>
      <c r="U64">
        <v>99.5</v>
      </c>
      <c r="V64">
        <v>9.39</v>
      </c>
      <c r="W64">
        <v>96.9</v>
      </c>
      <c r="X64">
        <v>63</v>
      </c>
      <c r="Y64">
        <v>1.33</v>
      </c>
      <c r="Z64">
        <v>0.81</v>
      </c>
      <c r="AA64">
        <v>0.32</v>
      </c>
      <c r="AB64">
        <v>-0.04</v>
      </c>
      <c r="AC64">
        <v>0.78700000000000003</v>
      </c>
      <c r="AD64">
        <v>3420</v>
      </c>
      <c r="AE64" s="27">
        <f t="shared" si="5"/>
        <v>1.35</v>
      </c>
      <c r="AF64" s="1">
        <v>2.35</v>
      </c>
    </row>
    <row r="65" spans="1:32" ht="15.75" customHeight="1" x14ac:dyDescent="0.15">
      <c r="A65" s="26">
        <v>45422</v>
      </c>
      <c r="B65" s="25" t="s">
        <v>124</v>
      </c>
      <c r="C65">
        <v>37.14358</v>
      </c>
      <c r="D65">
        <v>-80.562380000000005</v>
      </c>
      <c r="E65" t="str">
        <f t="shared" si="6"/>
        <v>37.14358 N, 80.56238 W</v>
      </c>
      <c r="F65" s="18">
        <v>4.7222222222222221E-2</v>
      </c>
      <c r="G65">
        <v>18.2</v>
      </c>
      <c r="H65">
        <v>710.9</v>
      </c>
      <c r="I65">
        <v>100.1</v>
      </c>
      <c r="J65">
        <v>9.43</v>
      </c>
      <c r="K65">
        <v>115.9</v>
      </c>
      <c r="L65">
        <v>75</v>
      </c>
      <c r="M65">
        <v>2.3199999999999998</v>
      </c>
      <c r="N65">
        <v>0.62</v>
      </c>
      <c r="O65">
        <v>0.24</v>
      </c>
      <c r="P65">
        <v>0.01</v>
      </c>
      <c r="Q65">
        <v>0.19700000000000001</v>
      </c>
      <c r="R65" s="18">
        <v>4.791666666666667E-2</v>
      </c>
      <c r="S65">
        <v>18.2</v>
      </c>
      <c r="T65">
        <v>710.9</v>
      </c>
      <c r="U65">
        <v>100.3</v>
      </c>
      <c r="V65">
        <v>9.4600000000000009</v>
      </c>
      <c r="W65">
        <v>117.9</v>
      </c>
      <c r="X65">
        <v>77</v>
      </c>
      <c r="Y65">
        <v>11.28</v>
      </c>
      <c r="Z65">
        <v>1.24</v>
      </c>
      <c r="AA65">
        <v>0.51</v>
      </c>
      <c r="AB65">
        <v>7.0000000000000007E-2</v>
      </c>
      <c r="AC65">
        <v>0.61799999999999999</v>
      </c>
      <c r="AD65">
        <v>3420</v>
      </c>
      <c r="AE65" s="27">
        <f t="shared" si="5"/>
        <v>6.8</v>
      </c>
      <c r="AF65" s="1">
        <v>2.36</v>
      </c>
    </row>
    <row r="66" spans="1:32" ht="15.75" customHeight="1" x14ac:dyDescent="0.15">
      <c r="A66" s="26">
        <v>45423</v>
      </c>
      <c r="B66" s="1" t="s">
        <v>125</v>
      </c>
      <c r="C66">
        <v>37.19755</v>
      </c>
      <c r="D66">
        <v>-80.563779999999994</v>
      </c>
      <c r="E66" t="str">
        <f t="shared" si="6"/>
        <v>37.19755 N, 80.56378 W</v>
      </c>
      <c r="F66" s="18">
        <v>0.53333333333333333</v>
      </c>
      <c r="G66">
        <v>17.7</v>
      </c>
      <c r="H66">
        <v>714.8</v>
      </c>
      <c r="I66">
        <v>97.1</v>
      </c>
      <c r="J66">
        <v>9.25</v>
      </c>
      <c r="K66">
        <v>108.9</v>
      </c>
      <c r="L66">
        <v>71</v>
      </c>
      <c r="M66">
        <v>2.82</v>
      </c>
      <c r="N66">
        <v>0.31</v>
      </c>
      <c r="O66">
        <v>0.1</v>
      </c>
      <c r="P66">
        <v>0.05</v>
      </c>
      <c r="Q66">
        <v>0.122</v>
      </c>
      <c r="R66" s="18">
        <v>0.53333333333333333</v>
      </c>
      <c r="S66">
        <v>17.7</v>
      </c>
      <c r="T66">
        <v>714.8</v>
      </c>
      <c r="U66">
        <v>97.9</v>
      </c>
      <c r="V66">
        <v>9.33</v>
      </c>
      <c r="W66">
        <v>108.9</v>
      </c>
      <c r="X66">
        <v>71</v>
      </c>
      <c r="Y66">
        <v>2.36</v>
      </c>
      <c r="Z66">
        <v>0.3</v>
      </c>
      <c r="AA66">
        <v>0.1</v>
      </c>
      <c r="AB66">
        <v>-0.01</v>
      </c>
      <c r="AC66">
        <v>0.51100000000000001</v>
      </c>
      <c r="AD66">
        <v>3830</v>
      </c>
      <c r="AE66" s="27">
        <f t="shared" ref="AE66:AE102" si="7">AVERAGE(M66, Y66)</f>
        <v>2.59</v>
      </c>
      <c r="AF66" s="1">
        <v>2.3199999999999998</v>
      </c>
    </row>
    <row r="67" spans="1:32" ht="15.75" customHeight="1" x14ac:dyDescent="0.15">
      <c r="A67" s="26">
        <v>45423</v>
      </c>
      <c r="B67" s="1" t="s">
        <v>126</v>
      </c>
      <c r="C67">
        <v>37.198070000000001</v>
      </c>
      <c r="D67">
        <v>-80.564570000000003</v>
      </c>
      <c r="E67" t="str">
        <f t="shared" si="6"/>
        <v>37.19807 N, 80.56457 W</v>
      </c>
      <c r="F67" s="18">
        <v>0.53611111111111109</v>
      </c>
      <c r="G67">
        <v>17.3</v>
      </c>
      <c r="H67">
        <v>714.8</v>
      </c>
      <c r="I67">
        <v>96</v>
      </c>
      <c r="J67">
        <v>9.23</v>
      </c>
      <c r="K67">
        <v>110.2</v>
      </c>
      <c r="L67">
        <v>72</v>
      </c>
      <c r="M67">
        <v>1.59</v>
      </c>
      <c r="N67">
        <v>0.43</v>
      </c>
      <c r="O67">
        <v>0.15</v>
      </c>
      <c r="P67">
        <v>0</v>
      </c>
      <c r="Q67">
        <v>0.18099999999999999</v>
      </c>
      <c r="R67" s="18">
        <v>0.53611111111111109</v>
      </c>
      <c r="S67">
        <v>17.3</v>
      </c>
      <c r="T67">
        <v>714.8</v>
      </c>
      <c r="U67">
        <v>96.1</v>
      </c>
      <c r="V67">
        <v>9.24</v>
      </c>
      <c r="W67">
        <v>110</v>
      </c>
      <c r="X67">
        <v>72</v>
      </c>
      <c r="Y67">
        <v>1.96</v>
      </c>
      <c r="Z67">
        <v>0.57999999999999996</v>
      </c>
      <c r="AA67">
        <v>0.22</v>
      </c>
      <c r="AB67">
        <v>0.03</v>
      </c>
      <c r="AC67">
        <v>1.073</v>
      </c>
      <c r="AD67">
        <v>3830</v>
      </c>
      <c r="AE67" s="27">
        <f t="shared" si="7"/>
        <v>1.7749999999999999</v>
      </c>
      <c r="AF67" s="1">
        <v>2.3199999999999998</v>
      </c>
    </row>
    <row r="68" spans="1:32" ht="15.75" customHeight="1" x14ac:dyDescent="0.15">
      <c r="A68" s="26">
        <v>45423</v>
      </c>
      <c r="B68" s="1" t="s">
        <v>127</v>
      </c>
      <c r="C68">
        <v>37.198329999999999</v>
      </c>
      <c r="D68">
        <v>-80.565039999999996</v>
      </c>
      <c r="E68" t="str">
        <f t="shared" si="6"/>
        <v>37.19833 N, 80.56504 W</v>
      </c>
      <c r="F68" s="18">
        <v>0.53749999999999998</v>
      </c>
      <c r="G68">
        <v>17.3</v>
      </c>
      <c r="H68">
        <v>714.8</v>
      </c>
      <c r="I68">
        <v>95.5</v>
      </c>
      <c r="J68">
        <v>9.17</v>
      </c>
      <c r="K68">
        <v>111.5</v>
      </c>
      <c r="L68">
        <v>73</v>
      </c>
      <c r="M68">
        <v>1.35</v>
      </c>
      <c r="N68">
        <v>0.46</v>
      </c>
      <c r="O68">
        <v>0.17</v>
      </c>
      <c r="P68">
        <v>0.04</v>
      </c>
      <c r="Q68">
        <v>0.16200000000000001</v>
      </c>
      <c r="R68" s="18">
        <v>0.53749999999999998</v>
      </c>
      <c r="S68">
        <v>17.3</v>
      </c>
      <c r="T68">
        <v>714.8</v>
      </c>
      <c r="U68">
        <v>95.5</v>
      </c>
      <c r="V68">
        <v>9.18</v>
      </c>
      <c r="W68">
        <v>111.7</v>
      </c>
      <c r="X68">
        <v>73</v>
      </c>
      <c r="Y68">
        <v>1.5</v>
      </c>
      <c r="Z68">
        <v>0.52</v>
      </c>
      <c r="AA68">
        <v>0.2</v>
      </c>
      <c r="AB68">
        <v>-0.02</v>
      </c>
      <c r="AC68">
        <v>0.9</v>
      </c>
      <c r="AD68">
        <v>3780</v>
      </c>
      <c r="AE68" s="27">
        <f t="shared" si="7"/>
        <v>1.425</v>
      </c>
      <c r="AF68" s="1">
        <v>2.3199999999999998</v>
      </c>
    </row>
    <row r="69" spans="1:32" ht="15.75" customHeight="1" x14ac:dyDescent="0.15">
      <c r="A69" s="26">
        <v>45428</v>
      </c>
      <c r="B69" s="25" t="s">
        <v>128</v>
      </c>
      <c r="C69">
        <v>37.143790000000003</v>
      </c>
      <c r="D69">
        <v>-80.56371</v>
      </c>
      <c r="E69" t="str">
        <f t="shared" si="6"/>
        <v>37.14379 N, 80.56371 W</v>
      </c>
      <c r="F69" s="18">
        <v>0.47847222222222224</v>
      </c>
      <c r="G69">
        <v>18.100000000000001</v>
      </c>
      <c r="H69">
        <v>714.2</v>
      </c>
      <c r="I69">
        <v>89.2</v>
      </c>
      <c r="J69">
        <v>8.42</v>
      </c>
      <c r="K69">
        <v>100.7</v>
      </c>
      <c r="L69">
        <v>65</v>
      </c>
      <c r="M69">
        <v>2.09</v>
      </c>
      <c r="N69">
        <v>0.61</v>
      </c>
      <c r="O69">
        <v>0.23</v>
      </c>
      <c r="P69">
        <v>0.01</v>
      </c>
      <c r="Q69">
        <v>0.104</v>
      </c>
      <c r="R69" s="18">
        <v>0.47847222222222224</v>
      </c>
      <c r="S69">
        <v>18.100000000000001</v>
      </c>
      <c r="T69">
        <v>714.2</v>
      </c>
      <c r="U69">
        <v>88.6</v>
      </c>
      <c r="V69">
        <v>8.3699999999999992</v>
      </c>
      <c r="W69">
        <v>100.9</v>
      </c>
      <c r="X69">
        <v>66</v>
      </c>
      <c r="Y69">
        <v>1.83</v>
      </c>
      <c r="Z69">
        <v>0.68</v>
      </c>
      <c r="AA69">
        <v>0.27</v>
      </c>
      <c r="AB69">
        <v>-0.08</v>
      </c>
      <c r="AC69">
        <v>0.97699999999999998</v>
      </c>
      <c r="AD69">
        <v>5390</v>
      </c>
      <c r="AE69" s="27">
        <f t="shared" si="7"/>
        <v>1.96</v>
      </c>
      <c r="AF69" s="1">
        <v>3.06</v>
      </c>
    </row>
    <row r="70" spans="1:32" ht="15.75" customHeight="1" x14ac:dyDescent="0.15">
      <c r="A70" s="26">
        <v>45428</v>
      </c>
      <c r="B70" s="25" t="s">
        <v>129</v>
      </c>
      <c r="C70">
        <v>37.143799999999999</v>
      </c>
      <c r="D70">
        <v>-80.562910000000002</v>
      </c>
      <c r="E70" t="str">
        <f t="shared" si="6"/>
        <v>37.1438 N, 80.56291 W</v>
      </c>
      <c r="F70" s="18">
        <v>0.48055555555555557</v>
      </c>
      <c r="G70">
        <v>18.2</v>
      </c>
      <c r="H70">
        <v>714.3</v>
      </c>
      <c r="I70">
        <v>89.9</v>
      </c>
      <c r="J70">
        <v>8.48</v>
      </c>
      <c r="K70">
        <v>98.9</v>
      </c>
      <c r="L70">
        <v>64</v>
      </c>
      <c r="M70">
        <v>2.2200000000000002</v>
      </c>
      <c r="N70">
        <v>0.66</v>
      </c>
      <c r="O70">
        <v>0.26</v>
      </c>
      <c r="P70">
        <v>0.05</v>
      </c>
      <c r="Q70">
        <v>0.25600000000000001</v>
      </c>
      <c r="R70" s="18">
        <v>0.48055555555555557</v>
      </c>
      <c r="S70">
        <v>18.2</v>
      </c>
      <c r="T70">
        <v>714.3</v>
      </c>
      <c r="U70">
        <v>89.7</v>
      </c>
      <c r="V70">
        <v>8.4499999999999993</v>
      </c>
      <c r="W70">
        <v>98.9</v>
      </c>
      <c r="X70">
        <v>64</v>
      </c>
      <c r="Y70">
        <v>2.25</v>
      </c>
      <c r="Z70">
        <v>0.68</v>
      </c>
      <c r="AA70">
        <v>0.24</v>
      </c>
      <c r="AB70">
        <v>0.11</v>
      </c>
      <c r="AC70">
        <v>1.042</v>
      </c>
      <c r="AD70">
        <v>5390</v>
      </c>
      <c r="AE70" s="27">
        <f t="shared" si="7"/>
        <v>2.2350000000000003</v>
      </c>
      <c r="AF70" s="1">
        <v>3.06</v>
      </c>
    </row>
    <row r="71" spans="1:32" ht="15.75" customHeight="1" x14ac:dyDescent="0.15">
      <c r="A71" s="26">
        <v>45428</v>
      </c>
      <c r="B71" s="25" t="s">
        <v>130</v>
      </c>
      <c r="C71">
        <v>37.14349</v>
      </c>
      <c r="D71">
        <v>-80.562380000000005</v>
      </c>
      <c r="E71" t="str">
        <f t="shared" si="6"/>
        <v>37.14349 N, 80.56238 W</v>
      </c>
      <c r="F71" s="18">
        <v>0.4826388888888889</v>
      </c>
      <c r="G71">
        <v>18.2</v>
      </c>
      <c r="H71">
        <v>714.3</v>
      </c>
      <c r="I71">
        <v>93.4</v>
      </c>
      <c r="J71">
        <v>8.81</v>
      </c>
      <c r="K71">
        <v>103.4</v>
      </c>
      <c r="L71">
        <v>67</v>
      </c>
      <c r="M71">
        <v>4.6100000000000003</v>
      </c>
      <c r="N71">
        <v>0.69</v>
      </c>
      <c r="O71">
        <v>0.27</v>
      </c>
      <c r="P71">
        <v>0.05</v>
      </c>
      <c r="Q71">
        <v>0.26300000000000001</v>
      </c>
      <c r="R71" s="18">
        <v>0.4826388888888889</v>
      </c>
      <c r="S71">
        <v>18.2</v>
      </c>
      <c r="T71">
        <v>714.4</v>
      </c>
      <c r="U71">
        <v>93.7</v>
      </c>
      <c r="V71">
        <v>8.83</v>
      </c>
      <c r="W71">
        <v>102.4</v>
      </c>
      <c r="X71">
        <v>67</v>
      </c>
      <c r="Y71">
        <v>4.21</v>
      </c>
      <c r="Z71">
        <v>0.65</v>
      </c>
      <c r="AA71">
        <v>0.25</v>
      </c>
      <c r="AB71">
        <v>0.04</v>
      </c>
      <c r="AC71">
        <v>0.85</v>
      </c>
      <c r="AD71">
        <v>5390</v>
      </c>
      <c r="AE71" s="27">
        <f t="shared" si="7"/>
        <v>4.41</v>
      </c>
      <c r="AF71" s="1">
        <v>3.07</v>
      </c>
    </row>
    <row r="72" spans="1:32" ht="15.75" customHeight="1" x14ac:dyDescent="0.15">
      <c r="A72" s="26">
        <v>45433</v>
      </c>
      <c r="B72" t="s">
        <v>131</v>
      </c>
      <c r="C72">
        <v>37.061250000000001</v>
      </c>
      <c r="D72">
        <v>-80.639200000000002</v>
      </c>
      <c r="E72" t="str">
        <f t="shared" si="6"/>
        <v>37.06125 N, 80.6392 W</v>
      </c>
      <c r="F72" s="18">
        <v>0.49027777777777776</v>
      </c>
      <c r="G72">
        <v>23.4</v>
      </c>
      <c r="H72">
        <v>715.7</v>
      </c>
      <c r="I72">
        <v>121.4</v>
      </c>
      <c r="J72">
        <v>10.34</v>
      </c>
      <c r="K72">
        <v>97.9</v>
      </c>
      <c r="L72">
        <v>64</v>
      </c>
      <c r="M72">
        <v>4.1900000000000004</v>
      </c>
      <c r="N72">
        <v>2.36</v>
      </c>
      <c r="O72">
        <v>1.01</v>
      </c>
      <c r="P72">
        <v>0.06</v>
      </c>
      <c r="Q72">
        <v>0.26200000000000001</v>
      </c>
      <c r="R72" s="18">
        <v>0.49027777777777776</v>
      </c>
      <c r="S72">
        <v>23.1</v>
      </c>
      <c r="T72">
        <v>715.6</v>
      </c>
      <c r="U72">
        <v>122.6</v>
      </c>
      <c r="V72">
        <v>10.5</v>
      </c>
      <c r="W72">
        <v>97.9</v>
      </c>
      <c r="X72">
        <v>64</v>
      </c>
      <c r="Y72">
        <v>3.97</v>
      </c>
      <c r="Z72">
        <v>3.84</v>
      </c>
      <c r="AA72">
        <v>1.66</v>
      </c>
      <c r="AB72">
        <v>7.0000000000000007E-2</v>
      </c>
      <c r="AC72">
        <v>0.97699999999999998</v>
      </c>
      <c r="AD72">
        <v>4620</v>
      </c>
      <c r="AE72" s="27">
        <f t="shared" si="7"/>
        <v>4.08</v>
      </c>
      <c r="AF72" s="1">
        <v>2.77</v>
      </c>
    </row>
    <row r="73" spans="1:32" ht="15.75" customHeight="1" x14ac:dyDescent="0.15">
      <c r="A73" s="26">
        <v>45433</v>
      </c>
      <c r="B73" t="s">
        <v>132</v>
      </c>
      <c r="C73">
        <v>37.061729999999997</v>
      </c>
      <c r="D73">
        <v>-80.639160000000004</v>
      </c>
      <c r="E73" t="str">
        <f t="shared" si="6"/>
        <v>37.06173 N, 80.63916 W</v>
      </c>
      <c r="F73" s="18">
        <v>0.5395833333333333</v>
      </c>
      <c r="G73">
        <v>23.6</v>
      </c>
      <c r="H73">
        <v>715.1</v>
      </c>
      <c r="I73">
        <v>123.3</v>
      </c>
      <c r="J73">
        <v>10.46</v>
      </c>
      <c r="K73">
        <v>98.1</v>
      </c>
      <c r="L73">
        <v>64</v>
      </c>
      <c r="M73">
        <v>3.62</v>
      </c>
      <c r="N73">
        <v>3.77</v>
      </c>
      <c r="O73">
        <v>1.62</v>
      </c>
      <c r="P73">
        <v>0.11</v>
      </c>
      <c r="Q73">
        <v>0.373</v>
      </c>
      <c r="R73" s="18">
        <v>0.5395833333333333</v>
      </c>
      <c r="S73">
        <v>23.1</v>
      </c>
      <c r="T73">
        <v>715.6</v>
      </c>
      <c r="U73">
        <v>125.5</v>
      </c>
      <c r="V73">
        <v>10.74</v>
      </c>
      <c r="W73">
        <v>98.1</v>
      </c>
      <c r="X73">
        <v>64</v>
      </c>
      <c r="Y73">
        <v>3.36</v>
      </c>
      <c r="Z73">
        <v>5.64</v>
      </c>
      <c r="AA73">
        <v>2.4500000000000002</v>
      </c>
      <c r="AB73">
        <v>0.14000000000000001</v>
      </c>
      <c r="AC73">
        <v>1.181</v>
      </c>
      <c r="AD73">
        <v>4560</v>
      </c>
      <c r="AE73" s="27">
        <f t="shared" si="7"/>
        <v>3.49</v>
      </c>
      <c r="AF73" s="1">
        <v>2.75</v>
      </c>
    </row>
    <row r="74" spans="1:32" ht="15.75" customHeight="1" x14ac:dyDescent="0.15">
      <c r="A74" s="26">
        <v>45433</v>
      </c>
      <c r="B74" t="s">
        <v>133</v>
      </c>
      <c r="C74">
        <v>37.061190000000003</v>
      </c>
      <c r="D74">
        <v>-80.640699999999995</v>
      </c>
      <c r="E74" t="str">
        <f t="shared" si="6"/>
        <v>37.06119 N, 80.6407 W</v>
      </c>
      <c r="F74" s="18">
        <v>7.7083333333333337E-2</v>
      </c>
      <c r="G74">
        <v>24.6</v>
      </c>
      <c r="H74">
        <v>714.8</v>
      </c>
      <c r="I74">
        <v>129.1</v>
      </c>
      <c r="J74">
        <v>10.75</v>
      </c>
      <c r="K74">
        <v>98.6</v>
      </c>
      <c r="L74">
        <v>64</v>
      </c>
      <c r="M74">
        <v>5.4</v>
      </c>
      <c r="N74">
        <v>2.95</v>
      </c>
      <c r="O74">
        <v>1.26</v>
      </c>
      <c r="P74">
        <v>0.11</v>
      </c>
      <c r="Q74">
        <v>0.24299999999999999</v>
      </c>
      <c r="R74" s="18">
        <v>7.7777777777777779E-2</v>
      </c>
      <c r="S74">
        <v>23.5</v>
      </c>
      <c r="T74">
        <v>714.7</v>
      </c>
      <c r="U74">
        <v>131.1</v>
      </c>
      <c r="V74">
        <v>11.14</v>
      </c>
      <c r="W74">
        <v>98.1</v>
      </c>
      <c r="X74">
        <v>64</v>
      </c>
      <c r="Y74">
        <v>5.56</v>
      </c>
      <c r="Z74">
        <v>5.28</v>
      </c>
      <c r="AA74">
        <v>2.29</v>
      </c>
      <c r="AB74">
        <v>0.11</v>
      </c>
      <c r="AC74">
        <v>1.1020000000000001</v>
      </c>
      <c r="AD74">
        <v>4560</v>
      </c>
      <c r="AE74" s="27">
        <f t="shared" si="7"/>
        <v>5.48</v>
      </c>
      <c r="AF74" s="1">
        <v>2.75</v>
      </c>
    </row>
    <row r="75" spans="1:32" ht="15.75" customHeight="1" x14ac:dyDescent="0.15">
      <c r="A75" s="26">
        <v>45433</v>
      </c>
      <c r="B75" t="s">
        <v>134</v>
      </c>
      <c r="C75">
        <v>37.061750000000004</v>
      </c>
      <c r="D75">
        <v>-80.638689999999997</v>
      </c>
      <c r="E75" t="str">
        <f t="shared" si="6"/>
        <v>37.06175 N, 80.63869 W</v>
      </c>
      <c r="F75" s="18">
        <v>8.1250000000000003E-2</v>
      </c>
      <c r="G75">
        <v>24.4</v>
      </c>
      <c r="H75">
        <v>714.7</v>
      </c>
      <c r="I75">
        <v>130.19999999999999</v>
      </c>
      <c r="J75">
        <v>10.87</v>
      </c>
      <c r="K75">
        <v>98.5</v>
      </c>
      <c r="L75">
        <v>64</v>
      </c>
      <c r="M75">
        <v>2.17</v>
      </c>
      <c r="N75">
        <v>2.41</v>
      </c>
      <c r="O75">
        <v>1.02</v>
      </c>
      <c r="P75">
        <v>0.12</v>
      </c>
      <c r="Q75">
        <v>0.191</v>
      </c>
      <c r="R75" s="18">
        <v>8.1250000000000003E-2</v>
      </c>
      <c r="S75">
        <v>23.1</v>
      </c>
      <c r="T75">
        <v>714.8</v>
      </c>
      <c r="U75">
        <v>130.69999999999999</v>
      </c>
      <c r="V75">
        <v>11.18</v>
      </c>
      <c r="W75">
        <v>98.1</v>
      </c>
      <c r="X75">
        <v>64</v>
      </c>
      <c r="Y75">
        <v>2.58</v>
      </c>
      <c r="Z75">
        <v>5.75</v>
      </c>
      <c r="AA75">
        <v>2.4900000000000002</v>
      </c>
      <c r="AB75">
        <v>0.15</v>
      </c>
      <c r="AC75">
        <v>1.103</v>
      </c>
      <c r="AD75">
        <v>4560</v>
      </c>
      <c r="AE75" s="27">
        <f t="shared" si="7"/>
        <v>2.375</v>
      </c>
      <c r="AF75" s="1">
        <v>2.75</v>
      </c>
    </row>
    <row r="76" spans="1:32" ht="15.75" customHeight="1" x14ac:dyDescent="0.15">
      <c r="A76" s="26">
        <v>45433</v>
      </c>
      <c r="B76" t="s">
        <v>135</v>
      </c>
      <c r="C76">
        <v>37.062069999999999</v>
      </c>
      <c r="D76">
        <v>-80.641300000000001</v>
      </c>
      <c r="E76" t="str">
        <f t="shared" si="6"/>
        <v>37.06207 N, 80.6413 W</v>
      </c>
      <c r="F76" s="18">
        <v>0.11944444444444445</v>
      </c>
      <c r="G76">
        <v>24.8</v>
      </c>
      <c r="H76">
        <v>714.4</v>
      </c>
      <c r="I76">
        <v>129.80000000000001</v>
      </c>
      <c r="J76">
        <v>10.75</v>
      </c>
      <c r="K76">
        <v>98.9</v>
      </c>
      <c r="L76">
        <v>64</v>
      </c>
      <c r="M76">
        <v>5.17</v>
      </c>
      <c r="N76">
        <v>3.73</v>
      </c>
      <c r="O76">
        <v>1.61</v>
      </c>
      <c r="P76">
        <v>0.04</v>
      </c>
      <c r="Q76">
        <v>0.27200000000000002</v>
      </c>
      <c r="R76" s="18">
        <v>0.12013888888888889</v>
      </c>
      <c r="S76">
        <v>22.7</v>
      </c>
      <c r="T76">
        <v>714.4</v>
      </c>
      <c r="U76">
        <v>129.19999999999999</v>
      </c>
      <c r="V76">
        <v>11.13</v>
      </c>
      <c r="W76">
        <v>99.6</v>
      </c>
      <c r="X76">
        <v>65</v>
      </c>
      <c r="Y76">
        <v>5.39</v>
      </c>
      <c r="Z76">
        <v>6.39</v>
      </c>
      <c r="AA76">
        <v>2.78</v>
      </c>
      <c r="AB76">
        <v>0.12</v>
      </c>
      <c r="AC76">
        <v>1.7769999999999999</v>
      </c>
      <c r="AD76">
        <v>4560</v>
      </c>
      <c r="AE76" s="27">
        <f t="shared" si="7"/>
        <v>5.2799999999999994</v>
      </c>
      <c r="AF76" s="1">
        <v>2.75</v>
      </c>
    </row>
    <row r="77" spans="1:32" ht="15.75" customHeight="1" x14ac:dyDescent="0.15">
      <c r="A77" s="26">
        <v>45433</v>
      </c>
      <c r="B77" t="s">
        <v>136</v>
      </c>
      <c r="C77">
        <v>37.0623</v>
      </c>
      <c r="D77">
        <v>-80.639020000000002</v>
      </c>
      <c r="E77" t="str">
        <f t="shared" si="6"/>
        <v>37.0623 N, 80.63902 W</v>
      </c>
      <c r="F77" s="18">
        <v>0.12291666666666666</v>
      </c>
      <c r="G77">
        <v>24.1</v>
      </c>
      <c r="H77">
        <v>714.3</v>
      </c>
      <c r="I77">
        <v>135.30000000000001</v>
      </c>
      <c r="J77">
        <v>11.36</v>
      </c>
      <c r="K77">
        <v>98.5</v>
      </c>
      <c r="L77">
        <v>64</v>
      </c>
      <c r="M77">
        <v>4.74</v>
      </c>
      <c r="N77">
        <v>6.08</v>
      </c>
      <c r="O77">
        <v>2.64</v>
      </c>
      <c r="P77">
        <v>0.17</v>
      </c>
      <c r="Q77">
        <v>0.36699999999999999</v>
      </c>
      <c r="R77" s="18">
        <v>0.12361111111111112</v>
      </c>
      <c r="S77">
        <v>23.1</v>
      </c>
      <c r="T77">
        <v>714.3</v>
      </c>
      <c r="U77">
        <v>137.30000000000001</v>
      </c>
      <c r="V77">
        <v>11.75</v>
      </c>
      <c r="W77">
        <v>98.1</v>
      </c>
      <c r="X77">
        <v>64</v>
      </c>
      <c r="Y77">
        <v>4.16</v>
      </c>
      <c r="Z77">
        <v>5.51</v>
      </c>
      <c r="AA77">
        <v>2.39</v>
      </c>
      <c r="AB77">
        <v>0.04</v>
      </c>
      <c r="AC77">
        <v>1.268</v>
      </c>
      <c r="AD77">
        <v>4520</v>
      </c>
      <c r="AE77" s="27">
        <f t="shared" si="7"/>
        <v>4.45</v>
      </c>
      <c r="AF77" s="1">
        <v>2.74</v>
      </c>
    </row>
    <row r="78" spans="1:32" ht="15.75" customHeight="1" x14ac:dyDescent="0.15">
      <c r="A78" s="26">
        <v>45433</v>
      </c>
      <c r="B78" t="s">
        <v>137</v>
      </c>
      <c r="C78">
        <v>37.061729999999997</v>
      </c>
      <c r="D78">
        <v>-80.641090000000005</v>
      </c>
      <c r="E78" t="str">
        <f t="shared" si="6"/>
        <v>37.06173 N, 80.64109 W</v>
      </c>
      <c r="F78" s="18">
        <v>0.16111111111111112</v>
      </c>
      <c r="G78">
        <v>25.1</v>
      </c>
      <c r="H78">
        <v>714.2</v>
      </c>
      <c r="I78">
        <v>130.19999999999999</v>
      </c>
      <c r="J78">
        <v>10.74</v>
      </c>
      <c r="K78">
        <v>98.7</v>
      </c>
      <c r="L78">
        <v>64</v>
      </c>
      <c r="M78">
        <v>4.12</v>
      </c>
      <c r="N78">
        <v>3.22</v>
      </c>
      <c r="O78">
        <v>1.38</v>
      </c>
      <c r="P78">
        <v>0.12</v>
      </c>
      <c r="Q78">
        <v>0.30099999999999999</v>
      </c>
      <c r="R78" s="18">
        <v>0.16180555555555556</v>
      </c>
      <c r="S78">
        <v>23.3</v>
      </c>
      <c r="T78">
        <v>714.2</v>
      </c>
      <c r="U78">
        <v>130.80000000000001</v>
      </c>
      <c r="V78">
        <v>11.15</v>
      </c>
      <c r="W78">
        <v>100.4</v>
      </c>
      <c r="X78">
        <v>65</v>
      </c>
      <c r="Y78">
        <v>4.42</v>
      </c>
      <c r="Z78">
        <v>4.72</v>
      </c>
      <c r="AA78">
        <v>2.04</v>
      </c>
      <c r="AB78">
        <v>0.15</v>
      </c>
      <c r="AC78">
        <v>1.405</v>
      </c>
      <c r="AD78">
        <v>4520</v>
      </c>
      <c r="AE78" s="27">
        <f t="shared" si="7"/>
        <v>4.2699999999999996</v>
      </c>
      <c r="AF78" s="1">
        <v>2.74</v>
      </c>
    </row>
    <row r="79" spans="1:32" ht="15.75" customHeight="1" x14ac:dyDescent="0.15">
      <c r="A79" s="26">
        <v>45433</v>
      </c>
      <c r="B79" t="s">
        <v>138</v>
      </c>
      <c r="C79">
        <v>37.061929999999997</v>
      </c>
      <c r="D79">
        <v>-80.638239999999996</v>
      </c>
      <c r="E79" t="str">
        <f t="shared" si="6"/>
        <v>37.06193 N, 80.63824 W</v>
      </c>
      <c r="F79" s="18">
        <v>0.16527777777777777</v>
      </c>
      <c r="G79">
        <v>24.7</v>
      </c>
      <c r="H79">
        <v>714.2</v>
      </c>
      <c r="I79">
        <v>128.9</v>
      </c>
      <c r="J79">
        <v>10.72</v>
      </c>
      <c r="K79">
        <v>98.6</v>
      </c>
      <c r="L79">
        <v>64</v>
      </c>
      <c r="M79">
        <v>2.86</v>
      </c>
      <c r="N79">
        <v>3.33</v>
      </c>
      <c r="O79">
        <v>1.43</v>
      </c>
      <c r="P79">
        <v>0.11</v>
      </c>
      <c r="Q79">
        <v>0.28999999999999998</v>
      </c>
      <c r="R79" s="18">
        <v>0.16527777777777777</v>
      </c>
      <c r="S79">
        <v>23.5</v>
      </c>
      <c r="T79">
        <v>714.3</v>
      </c>
      <c r="U79">
        <v>133.5</v>
      </c>
      <c r="V79">
        <v>11.33</v>
      </c>
      <c r="W79">
        <v>98.3</v>
      </c>
      <c r="X79">
        <v>64</v>
      </c>
      <c r="Y79">
        <v>3.15</v>
      </c>
      <c r="Z79">
        <v>5.26</v>
      </c>
      <c r="AA79">
        <v>2.2799999999999998</v>
      </c>
      <c r="AB79">
        <v>0.08</v>
      </c>
      <c r="AC79">
        <v>1.194</v>
      </c>
      <c r="AD79">
        <v>4490</v>
      </c>
      <c r="AE79" s="27">
        <f t="shared" si="7"/>
        <v>3.0049999999999999</v>
      </c>
      <c r="AF79" s="1">
        <v>2.73</v>
      </c>
    </row>
    <row r="80" spans="1:32" ht="15.75" customHeight="1" x14ac:dyDescent="0.15">
      <c r="A80" s="26">
        <v>45462</v>
      </c>
      <c r="B80" s="1" t="s">
        <v>139</v>
      </c>
      <c r="C80">
        <v>37.19829</v>
      </c>
      <c r="D80">
        <v>-80.563730000000007</v>
      </c>
      <c r="E80" t="str">
        <f t="shared" si="6"/>
        <v>37.19829 N, 80.56373 W</v>
      </c>
      <c r="F80" s="18">
        <v>0.49027777777777776</v>
      </c>
      <c r="G80">
        <v>24.2</v>
      </c>
      <c r="H80">
        <v>727.8</v>
      </c>
      <c r="I80">
        <v>103.1</v>
      </c>
      <c r="J80">
        <v>8.65</v>
      </c>
      <c r="K80">
        <v>126.5</v>
      </c>
      <c r="L80">
        <v>82</v>
      </c>
      <c r="M80">
        <v>1.29</v>
      </c>
      <c r="N80">
        <v>0.6</v>
      </c>
      <c r="O80">
        <v>0.23</v>
      </c>
      <c r="P80">
        <v>0.02</v>
      </c>
      <c r="Q80">
        <v>0.39</v>
      </c>
      <c r="R80" s="18">
        <v>0.49027777777777776</v>
      </c>
      <c r="S80">
        <v>24.2</v>
      </c>
      <c r="T80">
        <v>727.7</v>
      </c>
      <c r="U80">
        <v>103.6</v>
      </c>
      <c r="V80">
        <v>8.69</v>
      </c>
      <c r="W80">
        <v>126.4</v>
      </c>
      <c r="X80">
        <v>82</v>
      </c>
      <c r="Y80">
        <v>1.38</v>
      </c>
      <c r="Z80">
        <v>0.76</v>
      </c>
      <c r="AA80">
        <v>0.3</v>
      </c>
      <c r="AB80">
        <v>0.14000000000000001</v>
      </c>
      <c r="AC80">
        <v>1.204</v>
      </c>
      <c r="AD80">
        <v>2630</v>
      </c>
      <c r="AE80" s="27">
        <f t="shared" si="7"/>
        <v>1.335</v>
      </c>
      <c r="AF80" s="1">
        <v>1.79</v>
      </c>
    </row>
    <row r="81" spans="1:32" ht="15.75" customHeight="1" x14ac:dyDescent="0.15">
      <c r="A81" s="26">
        <v>45462</v>
      </c>
      <c r="B81" s="1" t="s">
        <v>140</v>
      </c>
      <c r="C81">
        <v>37.197679999999998</v>
      </c>
      <c r="D81">
        <v>-80.564830000000001</v>
      </c>
      <c r="E81" t="str">
        <f t="shared" si="6"/>
        <v>37.19768 N, 80.56483 W</v>
      </c>
      <c r="F81" s="18">
        <v>0.49236111111111114</v>
      </c>
      <c r="G81">
        <v>24.3</v>
      </c>
      <c r="H81">
        <v>727.7</v>
      </c>
      <c r="I81">
        <v>103</v>
      </c>
      <c r="J81">
        <v>8.6199999999999992</v>
      </c>
      <c r="K81">
        <v>126.2</v>
      </c>
      <c r="L81">
        <v>82</v>
      </c>
      <c r="M81">
        <v>1.24</v>
      </c>
      <c r="N81">
        <v>0.53</v>
      </c>
      <c r="O81">
        <v>0.2</v>
      </c>
      <c r="P81">
        <v>0.03</v>
      </c>
      <c r="Q81">
        <v>0.17100000000000001</v>
      </c>
      <c r="R81" s="18">
        <v>0.49305555555555558</v>
      </c>
      <c r="S81">
        <v>24.2</v>
      </c>
      <c r="T81">
        <v>727.8</v>
      </c>
      <c r="U81">
        <v>104.3</v>
      </c>
      <c r="V81">
        <v>8.74</v>
      </c>
      <c r="W81">
        <v>125.9</v>
      </c>
      <c r="X81">
        <v>82</v>
      </c>
      <c r="Y81">
        <v>1.17</v>
      </c>
      <c r="Z81">
        <v>0.53</v>
      </c>
      <c r="AA81">
        <v>0.2</v>
      </c>
      <c r="AB81">
        <v>0.06</v>
      </c>
      <c r="AC81">
        <v>1.3149999999999999</v>
      </c>
      <c r="AD81">
        <v>2630</v>
      </c>
      <c r="AE81" s="27">
        <f t="shared" si="7"/>
        <v>1.2050000000000001</v>
      </c>
      <c r="AF81" s="1">
        <v>1.79</v>
      </c>
    </row>
    <row r="82" spans="1:32" ht="15.75" customHeight="1" x14ac:dyDescent="0.15">
      <c r="A82" s="26">
        <v>45462</v>
      </c>
      <c r="B82" s="1" t="s">
        <v>141</v>
      </c>
      <c r="C82">
        <v>37.19717</v>
      </c>
      <c r="D82">
        <v>-80.565939999999998</v>
      </c>
      <c r="E82" t="str">
        <f t="shared" si="6"/>
        <v>37.19717 N, 80.56594 W</v>
      </c>
      <c r="F82" s="18">
        <v>0.49444444444444446</v>
      </c>
      <c r="G82">
        <v>24.2</v>
      </c>
      <c r="H82">
        <v>727.7</v>
      </c>
      <c r="I82">
        <v>103.4</v>
      </c>
      <c r="J82">
        <v>8.66</v>
      </c>
      <c r="K82">
        <v>126.3</v>
      </c>
      <c r="L82">
        <v>82</v>
      </c>
      <c r="M82">
        <v>1.07</v>
      </c>
      <c r="N82">
        <v>0.46</v>
      </c>
      <c r="O82">
        <v>0.17</v>
      </c>
      <c r="P82">
        <v>0.05</v>
      </c>
      <c r="Q82">
        <v>0.27600000000000002</v>
      </c>
      <c r="R82" s="18">
        <v>0.49513888888888891</v>
      </c>
      <c r="S82">
        <v>24.2</v>
      </c>
      <c r="T82">
        <v>727.7</v>
      </c>
      <c r="U82">
        <v>103.8</v>
      </c>
      <c r="V82">
        <v>8.6999999999999993</v>
      </c>
      <c r="W82">
        <v>126.3</v>
      </c>
      <c r="X82">
        <v>82</v>
      </c>
      <c r="Y82">
        <v>1.19</v>
      </c>
      <c r="Z82">
        <v>0.53</v>
      </c>
      <c r="AA82">
        <v>0.2</v>
      </c>
      <c r="AB82">
        <v>0.03</v>
      </c>
      <c r="AC82">
        <v>0.93300000000000005</v>
      </c>
      <c r="AD82">
        <v>2630</v>
      </c>
      <c r="AE82" s="27">
        <f t="shared" si="7"/>
        <v>1.1299999999999999</v>
      </c>
      <c r="AF82" s="1">
        <v>1.79</v>
      </c>
    </row>
    <row r="83" spans="1:32" ht="15.75" customHeight="1" x14ac:dyDescent="0.15">
      <c r="A83" s="26">
        <v>45464</v>
      </c>
      <c r="B83" s="1" t="s">
        <v>142</v>
      </c>
      <c r="C83">
        <v>37.198650000000001</v>
      </c>
      <c r="D83">
        <v>-80.563040000000001</v>
      </c>
      <c r="E83" t="str">
        <f t="shared" si="6"/>
        <v>37.19865 N, 80.56304 W</v>
      </c>
      <c r="F83" s="18">
        <v>0.48194444444444445</v>
      </c>
      <c r="G83">
        <v>24.8</v>
      </c>
      <c r="H83">
        <v>725.9</v>
      </c>
      <c r="I83">
        <v>105</v>
      </c>
      <c r="J83">
        <v>8.7100000000000009</v>
      </c>
      <c r="K83">
        <v>130.19999999999999</v>
      </c>
      <c r="L83">
        <v>85</v>
      </c>
      <c r="M83">
        <v>3.35</v>
      </c>
      <c r="N83">
        <v>0.44</v>
      </c>
      <c r="O83">
        <v>0.16</v>
      </c>
      <c r="P83">
        <v>0.01</v>
      </c>
      <c r="Q83">
        <v>0.19800000000000001</v>
      </c>
      <c r="R83" s="18">
        <v>0.48194444444444445</v>
      </c>
      <c r="S83">
        <v>24.8</v>
      </c>
      <c r="T83">
        <v>725.9</v>
      </c>
      <c r="U83">
        <v>105.4</v>
      </c>
      <c r="V83">
        <v>8.75</v>
      </c>
      <c r="W83">
        <v>130.19999999999999</v>
      </c>
      <c r="X83">
        <v>85</v>
      </c>
      <c r="Y83">
        <v>2.88</v>
      </c>
      <c r="Z83">
        <v>0.55000000000000004</v>
      </c>
      <c r="AA83">
        <v>0.21</v>
      </c>
      <c r="AB83">
        <v>0.12</v>
      </c>
      <c r="AC83">
        <v>1.0880000000000001</v>
      </c>
      <c r="AD83">
        <v>2250</v>
      </c>
      <c r="AE83" s="27">
        <f t="shared" si="7"/>
        <v>3.1150000000000002</v>
      </c>
      <c r="AF83" s="1">
        <v>1.64</v>
      </c>
    </row>
    <row r="84" spans="1:32" ht="15.75" customHeight="1" x14ac:dyDescent="0.15">
      <c r="A84" s="26">
        <v>45464</v>
      </c>
      <c r="B84" s="1" t="s">
        <v>143</v>
      </c>
      <c r="C84">
        <v>37.197800000000001</v>
      </c>
      <c r="D84">
        <v>-80.564859999999996</v>
      </c>
      <c r="E84" t="str">
        <f t="shared" si="6"/>
        <v>37.1978 N, 80.56486 W</v>
      </c>
      <c r="F84" s="18">
        <v>0.48541666666666666</v>
      </c>
      <c r="G84">
        <v>24.8</v>
      </c>
      <c r="H84">
        <v>725.8</v>
      </c>
      <c r="I84">
        <v>106.9</v>
      </c>
      <c r="J84">
        <v>8.86</v>
      </c>
      <c r="K84">
        <v>129.6</v>
      </c>
      <c r="L84">
        <v>84</v>
      </c>
      <c r="M84">
        <v>0.79</v>
      </c>
      <c r="N84">
        <v>0.48</v>
      </c>
      <c r="O84">
        <v>0.18</v>
      </c>
      <c r="P84">
        <v>-0.08</v>
      </c>
      <c r="Q84">
        <v>0.40200000000000002</v>
      </c>
      <c r="R84" s="18">
        <v>0.48541666666666666</v>
      </c>
      <c r="S84">
        <v>24.8</v>
      </c>
      <c r="T84">
        <v>725.9</v>
      </c>
      <c r="U84">
        <v>106.7</v>
      </c>
      <c r="V84">
        <v>8.84</v>
      </c>
      <c r="W84">
        <v>130</v>
      </c>
      <c r="X84">
        <v>84</v>
      </c>
      <c r="Y84">
        <v>0.86</v>
      </c>
      <c r="Z84">
        <v>0.43</v>
      </c>
      <c r="AA84">
        <v>0.16</v>
      </c>
      <c r="AB84">
        <v>0.01</v>
      </c>
      <c r="AC84">
        <v>1.218</v>
      </c>
      <c r="AD84">
        <v>2250</v>
      </c>
      <c r="AE84" s="27">
        <f t="shared" si="7"/>
        <v>0.82499999999999996</v>
      </c>
      <c r="AF84" s="1">
        <v>1.64</v>
      </c>
    </row>
    <row r="85" spans="1:32" ht="15.75" customHeight="1" x14ac:dyDescent="0.15">
      <c r="A85" s="26">
        <v>45464</v>
      </c>
      <c r="B85" s="1" t="s">
        <v>144</v>
      </c>
      <c r="C85">
        <v>37.19706</v>
      </c>
      <c r="D85">
        <v>-80.566230000000004</v>
      </c>
      <c r="E85" t="str">
        <f t="shared" si="6"/>
        <v>37.19706 N, 80.56623 W</v>
      </c>
      <c r="F85" s="18">
        <v>0.48819444444444443</v>
      </c>
      <c r="G85">
        <v>24.9</v>
      </c>
      <c r="H85">
        <v>725.9</v>
      </c>
      <c r="I85">
        <v>108.5</v>
      </c>
      <c r="J85">
        <v>8.98</v>
      </c>
      <c r="K85">
        <v>129.19999999999999</v>
      </c>
      <c r="L85">
        <v>84</v>
      </c>
      <c r="M85">
        <v>0.92</v>
      </c>
      <c r="N85">
        <v>0.31</v>
      </c>
      <c r="O85">
        <v>0.1</v>
      </c>
      <c r="P85">
        <v>0.03</v>
      </c>
      <c r="Q85">
        <v>0.32500000000000001</v>
      </c>
      <c r="R85" s="18">
        <v>0.48888888888888887</v>
      </c>
      <c r="S85">
        <v>24.9</v>
      </c>
      <c r="T85">
        <v>725.9</v>
      </c>
      <c r="U85">
        <v>108.4</v>
      </c>
      <c r="V85">
        <v>8.98</v>
      </c>
      <c r="W85">
        <v>129.4</v>
      </c>
      <c r="X85">
        <v>84</v>
      </c>
      <c r="Y85">
        <v>0.94</v>
      </c>
      <c r="Z85">
        <v>0.48</v>
      </c>
      <c r="AA85">
        <v>0.18</v>
      </c>
      <c r="AB85">
        <v>0.09</v>
      </c>
      <c r="AC85">
        <v>1.3959999999999999</v>
      </c>
      <c r="AD85">
        <v>2250</v>
      </c>
      <c r="AE85" s="27">
        <f t="shared" si="7"/>
        <v>0.92999999999999994</v>
      </c>
      <c r="AF85" s="1">
        <v>1.64</v>
      </c>
    </row>
    <row r="86" spans="1:32" ht="15.75" customHeight="1" x14ac:dyDescent="0.15">
      <c r="A86" s="26">
        <v>45470</v>
      </c>
      <c r="B86" t="s">
        <v>145</v>
      </c>
      <c r="C86">
        <v>37.197699999999998</v>
      </c>
      <c r="D86">
        <v>-80.565160000000006</v>
      </c>
      <c r="E86" t="str">
        <f t="shared" si="6"/>
        <v>37.1977 N, 80.56516 W</v>
      </c>
      <c r="F86" s="18">
        <v>0.12152777777777778</v>
      </c>
      <c r="G86">
        <v>25.1</v>
      </c>
      <c r="H86">
        <v>716.6</v>
      </c>
      <c r="I86">
        <v>98.1</v>
      </c>
      <c r="J86">
        <v>8.09</v>
      </c>
      <c r="K86">
        <v>126.9</v>
      </c>
      <c r="L86">
        <v>82</v>
      </c>
      <c r="M86">
        <v>2</v>
      </c>
      <c r="N86">
        <v>0.61</v>
      </c>
      <c r="O86">
        <v>0.14000000000000001</v>
      </c>
      <c r="P86">
        <v>0.05</v>
      </c>
      <c r="Q86">
        <v>0.30299999999999999</v>
      </c>
      <c r="R86" s="18">
        <v>0.12222222222222222</v>
      </c>
      <c r="S86">
        <v>25.1</v>
      </c>
      <c r="T86">
        <v>716.5</v>
      </c>
      <c r="U86">
        <v>98.7</v>
      </c>
      <c r="V86">
        <v>8.14</v>
      </c>
      <c r="W86">
        <v>126.9</v>
      </c>
      <c r="X86">
        <v>82</v>
      </c>
      <c r="Y86">
        <v>2.54</v>
      </c>
      <c r="Z86">
        <v>0.74</v>
      </c>
      <c r="AA86">
        <v>0.17</v>
      </c>
      <c r="AB86">
        <v>0.17</v>
      </c>
      <c r="AC86">
        <v>1.071</v>
      </c>
      <c r="AD86">
        <v>2530</v>
      </c>
      <c r="AE86" s="27">
        <f t="shared" si="7"/>
        <v>2.27</v>
      </c>
      <c r="AF86" s="1">
        <v>1.54</v>
      </c>
    </row>
    <row r="87" spans="1:32" ht="15.75" customHeight="1" x14ac:dyDescent="0.15">
      <c r="A87" s="26">
        <v>45470</v>
      </c>
      <c r="B87" t="s">
        <v>146</v>
      </c>
      <c r="C87">
        <v>37.197800000000001</v>
      </c>
      <c r="D87">
        <v>-80.565340000000006</v>
      </c>
      <c r="E87" t="str">
        <f t="shared" si="6"/>
        <v>37.1978 N, 80.56534 W</v>
      </c>
      <c r="F87" s="18">
        <v>0.15208333333333332</v>
      </c>
      <c r="G87">
        <v>25.2</v>
      </c>
      <c r="H87">
        <v>716.3</v>
      </c>
      <c r="I87">
        <v>101.6</v>
      </c>
      <c r="J87">
        <v>8.35</v>
      </c>
      <c r="K87">
        <v>129.1</v>
      </c>
      <c r="L87">
        <v>84</v>
      </c>
      <c r="M87">
        <v>2.66</v>
      </c>
      <c r="N87">
        <v>0.72</v>
      </c>
      <c r="O87">
        <v>0.17</v>
      </c>
      <c r="P87">
        <v>0.08</v>
      </c>
      <c r="Q87">
        <v>0.26300000000000001</v>
      </c>
      <c r="R87" s="18">
        <v>0.15277777777777779</v>
      </c>
      <c r="S87">
        <v>25.2</v>
      </c>
      <c r="T87">
        <v>716.3</v>
      </c>
      <c r="U87">
        <v>101.7</v>
      </c>
      <c r="V87">
        <v>8.36</v>
      </c>
      <c r="W87">
        <v>129.30000000000001</v>
      </c>
      <c r="X87">
        <v>84</v>
      </c>
      <c r="Y87">
        <v>2.13</v>
      </c>
      <c r="Z87">
        <v>0.81</v>
      </c>
      <c r="AA87">
        <v>0.19</v>
      </c>
      <c r="AB87">
        <v>0.09</v>
      </c>
      <c r="AC87">
        <v>0.98599999999999999</v>
      </c>
      <c r="AD87">
        <v>2530</v>
      </c>
      <c r="AE87" s="27">
        <f t="shared" si="7"/>
        <v>2.395</v>
      </c>
      <c r="AF87" s="1">
        <v>1.54</v>
      </c>
    </row>
    <row r="88" spans="1:32" ht="15.75" customHeight="1" x14ac:dyDescent="0.15">
      <c r="A88" s="26">
        <v>45470</v>
      </c>
      <c r="B88" t="s">
        <v>147</v>
      </c>
      <c r="C88">
        <v>37.197620000000001</v>
      </c>
      <c r="D88">
        <v>-80.565190000000001</v>
      </c>
      <c r="E88" t="str">
        <f t="shared" si="6"/>
        <v>37.19762 N, 80.56519 W</v>
      </c>
      <c r="F88" s="18">
        <v>0.19375000000000001</v>
      </c>
      <c r="G88">
        <v>25.4</v>
      </c>
      <c r="H88">
        <v>716</v>
      </c>
      <c r="I88">
        <v>105.9</v>
      </c>
      <c r="J88">
        <v>8.69</v>
      </c>
      <c r="K88">
        <v>134.5</v>
      </c>
      <c r="L88">
        <v>87</v>
      </c>
      <c r="M88">
        <v>4.6100000000000003</v>
      </c>
      <c r="N88">
        <v>0.67</v>
      </c>
      <c r="O88">
        <v>0.15</v>
      </c>
      <c r="P88">
        <v>0.06</v>
      </c>
      <c r="Q88">
        <v>0.24399999999999999</v>
      </c>
      <c r="R88" s="18">
        <v>0.19375000000000001</v>
      </c>
      <c r="S88">
        <v>25.4</v>
      </c>
      <c r="T88">
        <v>716</v>
      </c>
      <c r="U88">
        <v>106.6</v>
      </c>
      <c r="V88">
        <v>8.75</v>
      </c>
      <c r="W88">
        <v>134.30000000000001</v>
      </c>
      <c r="X88">
        <v>87</v>
      </c>
      <c r="Y88">
        <v>3.37</v>
      </c>
      <c r="Z88">
        <v>0.76</v>
      </c>
      <c r="AA88">
        <v>0.17</v>
      </c>
      <c r="AB88">
        <v>0.06</v>
      </c>
      <c r="AC88">
        <v>0.64700000000000002</v>
      </c>
      <c r="AD88">
        <v>2530</v>
      </c>
      <c r="AE88" s="27">
        <f t="shared" si="7"/>
        <v>3.99</v>
      </c>
      <c r="AF88" s="1">
        <v>1.54</v>
      </c>
    </row>
    <row r="89" spans="1:32" ht="15.75" customHeight="1" x14ac:dyDescent="0.15">
      <c r="A89" s="26">
        <v>45479</v>
      </c>
      <c r="B89" t="s">
        <v>148</v>
      </c>
      <c r="C89">
        <v>37.197780000000002</v>
      </c>
      <c r="D89">
        <v>-80.565079999999995</v>
      </c>
      <c r="E89" t="str">
        <f t="shared" si="6"/>
        <v>37.19778 N, 80.56508 W</v>
      </c>
      <c r="F89" s="18">
        <v>0.18194444444444444</v>
      </c>
      <c r="G89">
        <v>26.6</v>
      </c>
      <c r="H89">
        <v>718.4</v>
      </c>
      <c r="I89">
        <v>111.5</v>
      </c>
      <c r="J89">
        <v>8.94</v>
      </c>
      <c r="K89">
        <v>134.4</v>
      </c>
      <c r="L89">
        <v>87</v>
      </c>
      <c r="M89">
        <v>4.3899999999999997</v>
      </c>
      <c r="N89">
        <v>0.65</v>
      </c>
      <c r="O89">
        <v>0.15</v>
      </c>
      <c r="P89">
        <v>0.05</v>
      </c>
      <c r="Q89">
        <v>0.31900000000000001</v>
      </c>
      <c r="R89" s="18">
        <v>0.18263888888888888</v>
      </c>
      <c r="S89">
        <v>26.6</v>
      </c>
      <c r="T89">
        <v>718.4</v>
      </c>
      <c r="U89">
        <v>113.4</v>
      </c>
      <c r="V89">
        <v>9.1</v>
      </c>
      <c r="W89">
        <v>134.5</v>
      </c>
      <c r="X89">
        <v>87</v>
      </c>
      <c r="Y89">
        <v>4.93</v>
      </c>
      <c r="Z89">
        <v>0.59</v>
      </c>
      <c r="AA89">
        <v>0.13</v>
      </c>
      <c r="AB89">
        <v>0.09</v>
      </c>
      <c r="AC89">
        <v>1.18</v>
      </c>
      <c r="AD89">
        <v>2370</v>
      </c>
      <c r="AE89" s="27">
        <f t="shared" si="7"/>
        <v>4.66</v>
      </c>
      <c r="AF89" s="1">
        <v>1.81</v>
      </c>
    </row>
    <row r="90" spans="1:32" ht="15.75" customHeight="1" x14ac:dyDescent="0.15">
      <c r="A90" s="26">
        <v>45479</v>
      </c>
      <c r="B90" t="s">
        <v>149</v>
      </c>
      <c r="C90">
        <v>37.198650000000001</v>
      </c>
      <c r="D90">
        <v>-80.563559999999995</v>
      </c>
      <c r="E90" t="str">
        <f t="shared" si="6"/>
        <v>37.19865 N, 80.56356 W</v>
      </c>
      <c r="F90" s="18">
        <v>0.18611111111111112</v>
      </c>
      <c r="G90">
        <v>26.5</v>
      </c>
      <c r="H90">
        <v>718.4</v>
      </c>
      <c r="I90">
        <v>108.3</v>
      </c>
      <c r="J90">
        <v>8.6999999999999993</v>
      </c>
      <c r="K90">
        <v>135.69999999999999</v>
      </c>
      <c r="L90">
        <v>88</v>
      </c>
      <c r="M90">
        <v>1.27</v>
      </c>
      <c r="N90">
        <v>0.7</v>
      </c>
      <c r="O90">
        <v>0.16</v>
      </c>
      <c r="P90">
        <v>0.06</v>
      </c>
      <c r="Q90">
        <v>0.222</v>
      </c>
      <c r="R90" s="18">
        <v>0.18611111111111112</v>
      </c>
      <c r="S90">
        <v>26.5</v>
      </c>
      <c r="T90">
        <v>718.4</v>
      </c>
      <c r="U90">
        <v>109.7</v>
      </c>
      <c r="V90">
        <v>8.82</v>
      </c>
      <c r="W90">
        <v>135.6</v>
      </c>
      <c r="X90">
        <v>88</v>
      </c>
      <c r="Y90">
        <v>1.26</v>
      </c>
      <c r="Z90">
        <v>0.67</v>
      </c>
      <c r="AA90">
        <v>0.15</v>
      </c>
      <c r="AB90">
        <v>0.08</v>
      </c>
      <c r="AC90">
        <v>0.91900000000000004</v>
      </c>
      <c r="AD90">
        <v>2370</v>
      </c>
      <c r="AE90" s="27">
        <f t="shared" si="7"/>
        <v>1.2650000000000001</v>
      </c>
      <c r="AF90" s="1">
        <v>1.8</v>
      </c>
    </row>
    <row r="91" spans="1:32" ht="15.75" customHeight="1" x14ac:dyDescent="0.15">
      <c r="A91" s="26">
        <v>45479</v>
      </c>
      <c r="B91" t="s">
        <v>150</v>
      </c>
      <c r="C91">
        <v>37.19782</v>
      </c>
      <c r="D91">
        <v>-80.565079999999995</v>
      </c>
      <c r="E91" t="str">
        <f t="shared" si="6"/>
        <v>37.19782 N, 80.56508 W</v>
      </c>
      <c r="F91" s="18">
        <v>0.22013888888888888</v>
      </c>
      <c r="G91">
        <v>26.5</v>
      </c>
      <c r="H91">
        <v>718.2</v>
      </c>
      <c r="I91">
        <v>107.8</v>
      </c>
      <c r="J91">
        <v>8.66</v>
      </c>
      <c r="K91">
        <v>134.5</v>
      </c>
      <c r="L91">
        <v>87</v>
      </c>
      <c r="M91">
        <v>3.37</v>
      </c>
      <c r="N91">
        <v>0.66</v>
      </c>
      <c r="O91">
        <v>0.15</v>
      </c>
      <c r="P91">
        <v>0.09</v>
      </c>
      <c r="Q91">
        <v>0.22900000000000001</v>
      </c>
      <c r="R91" s="18">
        <v>0.22638888888888889</v>
      </c>
      <c r="S91">
        <v>26.5</v>
      </c>
      <c r="T91">
        <v>717.8</v>
      </c>
      <c r="U91">
        <v>108.5</v>
      </c>
      <c r="V91">
        <v>8.7200000000000006</v>
      </c>
      <c r="W91">
        <v>134.6</v>
      </c>
      <c r="X91">
        <v>87</v>
      </c>
      <c r="Y91">
        <v>2.4300000000000002</v>
      </c>
      <c r="Z91">
        <v>0.7</v>
      </c>
      <c r="AA91">
        <v>0.16</v>
      </c>
      <c r="AB91">
        <v>7.0000000000000007E-2</v>
      </c>
      <c r="AC91">
        <v>0.78500000000000003</v>
      </c>
      <c r="AD91">
        <v>2370</v>
      </c>
      <c r="AE91" s="27">
        <f t="shared" si="7"/>
        <v>2.9000000000000004</v>
      </c>
      <c r="AF91" s="1">
        <v>1.79</v>
      </c>
    </row>
    <row r="92" spans="1:32" ht="15.75" customHeight="1" x14ac:dyDescent="0.15">
      <c r="A92" s="26">
        <v>45491</v>
      </c>
      <c r="B92" t="s">
        <v>151</v>
      </c>
      <c r="C92">
        <v>37.197650000000003</v>
      </c>
      <c r="D92">
        <v>-80.564920000000001</v>
      </c>
      <c r="E92" t="str">
        <f t="shared" si="6"/>
        <v>37.19765 N, 80.56492 W</v>
      </c>
      <c r="F92" s="18">
        <v>0.22013888888888888</v>
      </c>
      <c r="G92">
        <v>26.9</v>
      </c>
      <c r="H92">
        <v>719</v>
      </c>
      <c r="I92">
        <v>105.9</v>
      </c>
      <c r="J92">
        <v>8.4600000000000009</v>
      </c>
      <c r="K92">
        <v>141.9</v>
      </c>
      <c r="L92">
        <v>92</v>
      </c>
      <c r="M92">
        <v>2.15</v>
      </c>
      <c r="N92">
        <v>0.55000000000000004</v>
      </c>
      <c r="O92">
        <v>0.12</v>
      </c>
      <c r="P92">
        <v>0.03</v>
      </c>
      <c r="Q92">
        <v>0.24099999999999999</v>
      </c>
      <c r="R92" s="18">
        <v>0.22083333333333333</v>
      </c>
      <c r="S92">
        <v>26.9</v>
      </c>
      <c r="T92">
        <v>719</v>
      </c>
      <c r="U92">
        <v>106.4</v>
      </c>
      <c r="V92">
        <v>8.49</v>
      </c>
      <c r="W92">
        <v>141.80000000000001</v>
      </c>
      <c r="X92">
        <v>92</v>
      </c>
      <c r="Y92">
        <v>2.2400000000000002</v>
      </c>
      <c r="Z92">
        <v>0.56000000000000005</v>
      </c>
      <c r="AA92">
        <v>0.12</v>
      </c>
      <c r="AB92">
        <v>0.05</v>
      </c>
      <c r="AC92">
        <v>0.97599999999999998</v>
      </c>
      <c r="AD92">
        <v>2280</v>
      </c>
      <c r="AE92" s="27">
        <f t="shared" si="7"/>
        <v>2.1950000000000003</v>
      </c>
      <c r="AF92" s="33">
        <v>1.56</v>
      </c>
    </row>
    <row r="93" spans="1:32" ht="15.75" customHeight="1" x14ac:dyDescent="0.15">
      <c r="A93" s="26">
        <v>45491</v>
      </c>
      <c r="B93" t="s">
        <v>152</v>
      </c>
      <c r="C93">
        <v>37.198360000000001</v>
      </c>
      <c r="D93">
        <v>-80.563720000000004</v>
      </c>
      <c r="E93" t="str">
        <f t="shared" si="6"/>
        <v>37.19836 N, 80.56372 W</v>
      </c>
      <c r="F93" s="18">
        <v>0.22500000000000001</v>
      </c>
      <c r="G93">
        <v>26.9</v>
      </c>
      <c r="H93">
        <v>719</v>
      </c>
      <c r="I93">
        <v>105.7</v>
      </c>
      <c r="J93">
        <v>8.44</v>
      </c>
      <c r="K93">
        <v>142.1</v>
      </c>
      <c r="L93">
        <v>92</v>
      </c>
      <c r="M93">
        <v>2.21</v>
      </c>
      <c r="N93">
        <v>0.52</v>
      </c>
      <c r="O93">
        <v>0.12</v>
      </c>
      <c r="P93">
        <v>0.02</v>
      </c>
      <c r="Q93">
        <v>0.34</v>
      </c>
      <c r="R93" s="18">
        <v>0.22500000000000001</v>
      </c>
      <c r="S93">
        <v>26.9</v>
      </c>
      <c r="T93">
        <v>718.9</v>
      </c>
      <c r="U93">
        <v>106.6</v>
      </c>
      <c r="V93">
        <v>8.51</v>
      </c>
      <c r="W93">
        <v>141.69999999999999</v>
      </c>
      <c r="X93">
        <v>92</v>
      </c>
      <c r="Y93">
        <v>2.2000000000000002</v>
      </c>
      <c r="Z93">
        <v>0.74</v>
      </c>
      <c r="AA93">
        <v>0.17</v>
      </c>
      <c r="AB93">
        <v>0.06</v>
      </c>
      <c r="AC93">
        <v>0.77300000000000002</v>
      </c>
      <c r="AD93">
        <v>2340</v>
      </c>
      <c r="AE93" s="27">
        <f t="shared" si="7"/>
        <v>2.2050000000000001</v>
      </c>
      <c r="AF93" s="33">
        <v>1.56</v>
      </c>
    </row>
    <row r="94" spans="1:32" ht="15.75" customHeight="1" x14ac:dyDescent="0.15">
      <c r="A94" s="26">
        <v>45491</v>
      </c>
      <c r="B94" t="s">
        <v>153</v>
      </c>
      <c r="C94">
        <v>37.198279999999997</v>
      </c>
      <c r="D94">
        <v>-80.564160000000001</v>
      </c>
      <c r="E94" t="str">
        <f t="shared" si="6"/>
        <v>37.19828 N, 80.56416 W</v>
      </c>
      <c r="F94" s="18">
        <v>0.26319444444444445</v>
      </c>
      <c r="G94">
        <v>26.9</v>
      </c>
      <c r="H94">
        <v>718.7</v>
      </c>
      <c r="I94">
        <v>104.8</v>
      </c>
      <c r="J94">
        <v>8.3699999999999992</v>
      </c>
      <c r="K94">
        <v>143.9</v>
      </c>
      <c r="L94">
        <v>94</v>
      </c>
      <c r="M94">
        <v>2.3199999999999998</v>
      </c>
      <c r="N94">
        <v>0.73</v>
      </c>
      <c r="O94">
        <v>0.17</v>
      </c>
      <c r="P94">
        <v>0.04</v>
      </c>
      <c r="Q94">
        <v>0.312</v>
      </c>
      <c r="R94" s="18">
        <v>0.2638888888888889</v>
      </c>
      <c r="S94">
        <v>26.9</v>
      </c>
      <c r="T94">
        <v>718.8</v>
      </c>
      <c r="U94">
        <v>104.9</v>
      </c>
      <c r="V94">
        <v>8.3800000000000008</v>
      </c>
      <c r="W94">
        <v>143.69999999999999</v>
      </c>
      <c r="X94">
        <v>93</v>
      </c>
      <c r="Y94">
        <v>2.52</v>
      </c>
      <c r="Z94">
        <v>0.62</v>
      </c>
      <c r="AA94">
        <v>0.14000000000000001</v>
      </c>
      <c r="AB94">
        <v>0.05</v>
      </c>
      <c r="AC94">
        <v>1.135</v>
      </c>
      <c r="AD94">
        <v>2470</v>
      </c>
      <c r="AE94" s="27">
        <f t="shared" si="7"/>
        <v>2.42</v>
      </c>
      <c r="AF94" s="33">
        <v>1.55</v>
      </c>
    </row>
    <row r="95" spans="1:32" ht="15.75" customHeight="1" x14ac:dyDescent="0.15">
      <c r="A95" s="26">
        <v>45491</v>
      </c>
      <c r="B95" t="s">
        <v>154</v>
      </c>
      <c r="C95">
        <v>37.197789999999998</v>
      </c>
      <c r="D95">
        <v>-80.565110000000004</v>
      </c>
      <c r="E95" t="str">
        <f t="shared" si="6"/>
        <v>37.19779 N, 80.56511 W</v>
      </c>
      <c r="F95" s="18">
        <v>0.26597222222222222</v>
      </c>
      <c r="G95">
        <v>26.9</v>
      </c>
      <c r="H95">
        <v>718.9</v>
      </c>
      <c r="I95">
        <v>104.6</v>
      </c>
      <c r="J95">
        <v>8.36</v>
      </c>
      <c r="K95">
        <v>143.69999999999999</v>
      </c>
      <c r="L95">
        <v>93</v>
      </c>
      <c r="M95">
        <v>2.34</v>
      </c>
      <c r="N95">
        <v>0.55000000000000004</v>
      </c>
      <c r="O95">
        <v>0.12</v>
      </c>
      <c r="P95">
        <v>0.04</v>
      </c>
      <c r="Q95">
        <v>0.28599999999999998</v>
      </c>
      <c r="R95" s="18">
        <v>0.26666666666666666</v>
      </c>
      <c r="S95">
        <v>26.9</v>
      </c>
      <c r="T95">
        <v>718.9</v>
      </c>
      <c r="U95">
        <v>104.9</v>
      </c>
      <c r="V95">
        <v>8.3800000000000008</v>
      </c>
      <c r="W95">
        <v>143.80000000000001</v>
      </c>
      <c r="X95">
        <v>93</v>
      </c>
      <c r="Y95">
        <v>3.48</v>
      </c>
      <c r="Z95">
        <v>0.57999999999999996</v>
      </c>
      <c r="AA95">
        <v>0.13</v>
      </c>
      <c r="AB95">
        <v>0.06</v>
      </c>
      <c r="AC95">
        <v>0.78900000000000003</v>
      </c>
      <c r="AD95">
        <f>(2500+2470)/2</f>
        <v>2485</v>
      </c>
      <c r="AE95" s="27">
        <f t="shared" si="7"/>
        <v>2.91</v>
      </c>
      <c r="AF95" s="33">
        <v>1.55</v>
      </c>
    </row>
    <row r="96" spans="1:32" ht="15.75" customHeight="1" x14ac:dyDescent="0.15">
      <c r="A96" s="26">
        <v>45497</v>
      </c>
      <c r="B96" t="s">
        <v>155</v>
      </c>
      <c r="C96">
        <v>37.198140000000002</v>
      </c>
      <c r="D96">
        <v>-80.564539999999994</v>
      </c>
      <c r="E96" t="str">
        <f t="shared" si="6"/>
        <v>37.19814 N, 80.56454 W</v>
      </c>
      <c r="F96" s="18">
        <v>0.40694444444444444</v>
      </c>
      <c r="G96">
        <v>25.4</v>
      </c>
      <c r="H96">
        <v>723.8</v>
      </c>
      <c r="I96">
        <v>78.900000000000006</v>
      </c>
      <c r="J96">
        <v>6.47</v>
      </c>
      <c r="K96">
        <v>131.9</v>
      </c>
      <c r="L96">
        <v>86</v>
      </c>
      <c r="M96">
        <v>6.58</v>
      </c>
      <c r="N96">
        <v>2.39</v>
      </c>
      <c r="O96">
        <v>0.57999999999999996</v>
      </c>
      <c r="P96">
        <v>0.15</v>
      </c>
      <c r="Q96">
        <v>0.36599999999999999</v>
      </c>
      <c r="R96" s="18">
        <v>0.40763888888888888</v>
      </c>
      <c r="S96">
        <v>25.4</v>
      </c>
      <c r="T96">
        <v>723.5</v>
      </c>
      <c r="U96">
        <v>75.2</v>
      </c>
      <c r="V96">
        <v>6.16</v>
      </c>
      <c r="W96">
        <v>131.6</v>
      </c>
      <c r="X96">
        <v>86</v>
      </c>
      <c r="Y96">
        <v>6.77</v>
      </c>
      <c r="Z96">
        <v>2.31</v>
      </c>
      <c r="AA96">
        <v>0.56000000000000005</v>
      </c>
      <c r="AB96">
        <v>0.17</v>
      </c>
      <c r="AC96">
        <v>0.98699999999999999</v>
      </c>
      <c r="AD96">
        <v>3270</v>
      </c>
      <c r="AE96" s="27">
        <f t="shared" si="7"/>
        <v>6.6749999999999998</v>
      </c>
      <c r="AF96" s="33">
        <v>1.99</v>
      </c>
    </row>
    <row r="97" spans="1:32" ht="15.75" customHeight="1" x14ac:dyDescent="0.15">
      <c r="A97" s="26">
        <v>45530</v>
      </c>
      <c r="B97" t="s">
        <v>251</v>
      </c>
      <c r="C97">
        <v>37.198630000000001</v>
      </c>
      <c r="D97">
        <v>-80.564229999999995</v>
      </c>
      <c r="E97" t="str">
        <f t="shared" si="6"/>
        <v>37.19863 N, 80.56423 W</v>
      </c>
      <c r="F97" s="18">
        <v>0.25624999999999998</v>
      </c>
      <c r="G97">
        <v>26.9</v>
      </c>
      <c r="H97">
        <v>722.5</v>
      </c>
      <c r="I97">
        <v>121.5</v>
      </c>
      <c r="J97">
        <v>9.69</v>
      </c>
      <c r="K97">
        <v>131.4</v>
      </c>
      <c r="L97">
        <v>85</v>
      </c>
      <c r="M97">
        <v>1.19</v>
      </c>
      <c r="N97">
        <v>0.5</v>
      </c>
      <c r="O97">
        <v>-0.03</v>
      </c>
      <c r="P97">
        <v>0.03</v>
      </c>
      <c r="Q97">
        <v>0.40899999999999997</v>
      </c>
      <c r="R97" s="18">
        <v>0.25624999999999998</v>
      </c>
      <c r="S97">
        <v>26.9</v>
      </c>
      <c r="T97">
        <v>722.5</v>
      </c>
      <c r="U97">
        <v>123.2</v>
      </c>
      <c r="V97">
        <v>9.82</v>
      </c>
      <c r="W97">
        <v>131.4</v>
      </c>
      <c r="X97">
        <v>85</v>
      </c>
      <c r="Y97">
        <v>1.18</v>
      </c>
      <c r="Z97">
        <v>0.49</v>
      </c>
      <c r="AA97">
        <v>-0.03</v>
      </c>
      <c r="AB97">
        <v>0.03</v>
      </c>
      <c r="AC97">
        <v>1.0049999999999999</v>
      </c>
      <c r="AD97">
        <v>2040</v>
      </c>
      <c r="AE97" s="27">
        <f t="shared" si="7"/>
        <v>1.1850000000000001</v>
      </c>
      <c r="AF97">
        <v>2.36</v>
      </c>
    </row>
    <row r="98" spans="1:32" ht="15.75" customHeight="1" x14ac:dyDescent="0.15">
      <c r="A98" s="26">
        <v>45530</v>
      </c>
      <c r="B98" t="s">
        <v>252</v>
      </c>
      <c r="C98">
        <v>37.198030000000003</v>
      </c>
      <c r="D98">
        <v>-80.564480000000003</v>
      </c>
      <c r="E98" t="str">
        <f t="shared" si="6"/>
        <v>37.19803 N, 80.56448 W</v>
      </c>
      <c r="F98" s="18">
        <v>0.2590277777777778</v>
      </c>
      <c r="G98">
        <v>27</v>
      </c>
      <c r="H98">
        <v>722.5</v>
      </c>
      <c r="I98">
        <v>122.8</v>
      </c>
      <c r="J98">
        <v>9.77</v>
      </c>
      <c r="K98">
        <v>129.80000000000001</v>
      </c>
      <c r="L98">
        <v>84</v>
      </c>
      <c r="M98">
        <v>1.18</v>
      </c>
      <c r="N98">
        <v>0.46</v>
      </c>
      <c r="O98">
        <v>-0.04</v>
      </c>
      <c r="P98">
        <v>0.03</v>
      </c>
      <c r="Q98">
        <v>0.22800000000000001</v>
      </c>
      <c r="R98" s="18">
        <v>0.2590277777777778</v>
      </c>
      <c r="S98">
        <v>27.1</v>
      </c>
      <c r="T98">
        <v>722.6</v>
      </c>
      <c r="U98">
        <v>124.7</v>
      </c>
      <c r="V98">
        <v>9.93</v>
      </c>
      <c r="W98">
        <v>129.69999999999999</v>
      </c>
      <c r="X98">
        <v>84</v>
      </c>
      <c r="Y98">
        <v>1.1200000000000001</v>
      </c>
      <c r="Z98">
        <v>0.52</v>
      </c>
      <c r="AA98">
        <v>-0.02</v>
      </c>
      <c r="AB98">
        <v>0.01</v>
      </c>
      <c r="AC98">
        <v>0.63300000000000001</v>
      </c>
      <c r="AD98">
        <v>2040</v>
      </c>
      <c r="AE98" s="27">
        <f t="shared" si="7"/>
        <v>1.1499999999999999</v>
      </c>
      <c r="AF98">
        <v>2.36</v>
      </c>
    </row>
    <row r="99" spans="1:32" ht="15.75" customHeight="1" x14ac:dyDescent="0.15">
      <c r="A99" s="26">
        <v>45530</v>
      </c>
      <c r="B99" t="s">
        <v>253</v>
      </c>
      <c r="C99">
        <v>37.197429999999997</v>
      </c>
      <c r="D99">
        <v>-80.565079999999995</v>
      </c>
      <c r="E99" t="str">
        <f t="shared" si="6"/>
        <v>37.19743 N, 80.56508 W</v>
      </c>
      <c r="F99" s="18">
        <v>0.26180555555555557</v>
      </c>
      <c r="G99">
        <v>27.2</v>
      </c>
      <c r="H99">
        <v>722.5</v>
      </c>
      <c r="I99">
        <v>125.3</v>
      </c>
      <c r="J99">
        <v>9.9499999999999993</v>
      </c>
      <c r="K99">
        <v>129.1</v>
      </c>
      <c r="L99">
        <v>84</v>
      </c>
      <c r="M99">
        <v>1.27</v>
      </c>
      <c r="N99">
        <v>0.51</v>
      </c>
      <c r="O99">
        <v>-0.03</v>
      </c>
      <c r="P99">
        <v>0.01</v>
      </c>
      <c r="Q99">
        <v>0.219</v>
      </c>
      <c r="R99" s="18">
        <v>0.26180555555555557</v>
      </c>
      <c r="S99">
        <v>27.2</v>
      </c>
      <c r="T99">
        <v>722.6</v>
      </c>
      <c r="U99">
        <v>128.4</v>
      </c>
      <c r="V99">
        <v>10.19</v>
      </c>
      <c r="W99">
        <v>129.1</v>
      </c>
      <c r="X99">
        <v>84</v>
      </c>
      <c r="Y99">
        <v>1.19</v>
      </c>
      <c r="Z99">
        <v>0.46</v>
      </c>
      <c r="AA99">
        <v>-0.04</v>
      </c>
      <c r="AB99">
        <v>-0.02</v>
      </c>
      <c r="AC99">
        <v>1.042</v>
      </c>
      <c r="AD99">
        <v>2040</v>
      </c>
      <c r="AE99" s="27">
        <f t="shared" si="7"/>
        <v>1.23</v>
      </c>
      <c r="AF99">
        <v>2.36</v>
      </c>
    </row>
    <row r="100" spans="1:32" ht="15.75" customHeight="1" x14ac:dyDescent="0.15">
      <c r="A100" s="26">
        <v>45536</v>
      </c>
      <c r="B100" t="s">
        <v>254</v>
      </c>
      <c r="C100">
        <v>37.19885</v>
      </c>
      <c r="D100">
        <v>-80.563890000000001</v>
      </c>
      <c r="E100" t="str">
        <f t="shared" si="6"/>
        <v>37.19885 N, 80.56389 W</v>
      </c>
      <c r="F100" s="18">
        <v>0.47569444444444442</v>
      </c>
      <c r="G100">
        <v>25.3</v>
      </c>
      <c r="H100">
        <v>720</v>
      </c>
      <c r="I100">
        <v>83.6</v>
      </c>
      <c r="J100">
        <v>6.88</v>
      </c>
      <c r="K100">
        <v>144.69999999999999</v>
      </c>
      <c r="L100">
        <v>94</v>
      </c>
      <c r="M100">
        <v>1.46</v>
      </c>
      <c r="N100">
        <v>0.56999999999999995</v>
      </c>
      <c r="O100">
        <v>-0.01</v>
      </c>
      <c r="P100">
        <v>0</v>
      </c>
      <c r="Q100">
        <v>0.28899999999999998</v>
      </c>
      <c r="R100" s="18">
        <v>0.47638888888888886</v>
      </c>
      <c r="S100">
        <v>25.3</v>
      </c>
      <c r="T100">
        <v>719.9</v>
      </c>
      <c r="U100">
        <v>84.2</v>
      </c>
      <c r="V100">
        <v>6.92</v>
      </c>
      <c r="W100">
        <v>144.80000000000001</v>
      </c>
      <c r="X100">
        <v>94</v>
      </c>
      <c r="Y100">
        <v>2.86</v>
      </c>
      <c r="Z100">
        <v>0.61</v>
      </c>
      <c r="AA100">
        <v>0</v>
      </c>
      <c r="AB100">
        <v>0.02</v>
      </c>
      <c r="AC100">
        <v>0.76500000000000001</v>
      </c>
      <c r="AD100">
        <v>1400</v>
      </c>
      <c r="AE100" s="27">
        <f t="shared" si="7"/>
        <v>2.16</v>
      </c>
      <c r="AF100" s="1">
        <v>2.11</v>
      </c>
    </row>
    <row r="101" spans="1:32" ht="15.75" customHeight="1" x14ac:dyDescent="0.15">
      <c r="A101" s="26">
        <v>45536</v>
      </c>
      <c r="B101" t="s">
        <v>255</v>
      </c>
      <c r="C101">
        <v>37.19838</v>
      </c>
      <c r="D101">
        <v>-80.564099999999996</v>
      </c>
      <c r="E101" t="str">
        <f t="shared" si="6"/>
        <v>37.19838 N, 80.5641 W</v>
      </c>
      <c r="F101" s="18">
        <v>0.47847222222222224</v>
      </c>
      <c r="G101">
        <v>25.3</v>
      </c>
      <c r="H101">
        <v>720</v>
      </c>
      <c r="I101">
        <v>86.6</v>
      </c>
      <c r="J101">
        <v>7.12</v>
      </c>
      <c r="K101">
        <v>143.69999999999999</v>
      </c>
      <c r="L101">
        <v>93</v>
      </c>
      <c r="M101">
        <v>1.45</v>
      </c>
      <c r="N101">
        <v>0.64</v>
      </c>
      <c r="O101">
        <v>0.01</v>
      </c>
      <c r="P101">
        <v>0.04</v>
      </c>
      <c r="Q101">
        <v>0.23100000000000001</v>
      </c>
      <c r="R101" s="18">
        <v>0.47847222222222224</v>
      </c>
      <c r="S101">
        <v>25.3</v>
      </c>
      <c r="T101">
        <v>720.1</v>
      </c>
      <c r="U101">
        <v>85.3</v>
      </c>
      <c r="V101">
        <v>7.01</v>
      </c>
      <c r="W101">
        <v>143.80000000000001</v>
      </c>
      <c r="X101">
        <v>93</v>
      </c>
      <c r="Y101">
        <v>1.41</v>
      </c>
      <c r="Z101">
        <v>0.48</v>
      </c>
      <c r="AA101">
        <v>-0.03</v>
      </c>
      <c r="AB101">
        <v>0.06</v>
      </c>
      <c r="AC101">
        <v>0.81799999999999995</v>
      </c>
      <c r="AD101">
        <v>1400</v>
      </c>
      <c r="AE101" s="27">
        <f t="shared" si="7"/>
        <v>1.43</v>
      </c>
      <c r="AF101" s="1">
        <v>2.11</v>
      </c>
    </row>
    <row r="102" spans="1:32" ht="15.75" customHeight="1" x14ac:dyDescent="0.15">
      <c r="A102" s="26">
        <v>45549</v>
      </c>
      <c r="B102" t="s">
        <v>256</v>
      </c>
      <c r="C102">
        <v>37.19782</v>
      </c>
      <c r="D102">
        <v>-80.564859999999996</v>
      </c>
      <c r="E102" t="str">
        <f t="shared" si="6"/>
        <v>37.19782 N, 80.56486 W</v>
      </c>
      <c r="F102" s="18">
        <v>0.4152777777777778</v>
      </c>
      <c r="G102">
        <v>22.1</v>
      </c>
      <c r="H102">
        <v>724.1</v>
      </c>
      <c r="I102">
        <v>84.7</v>
      </c>
      <c r="J102">
        <v>7.39</v>
      </c>
      <c r="K102">
        <v>151.19999999999999</v>
      </c>
      <c r="L102">
        <v>98</v>
      </c>
      <c r="M102">
        <v>0.96</v>
      </c>
      <c r="N102">
        <v>0.42</v>
      </c>
      <c r="O102">
        <v>-0.05</v>
      </c>
      <c r="P102">
        <v>0.01</v>
      </c>
      <c r="Q102">
        <v>0.29399999999999998</v>
      </c>
      <c r="AD102">
        <v>1140</v>
      </c>
      <c r="AE102" s="27">
        <f t="shared" si="7"/>
        <v>0.96</v>
      </c>
      <c r="AF102" s="1">
        <v>1.99</v>
      </c>
    </row>
    <row r="103" spans="1:32" ht="15.75" customHeight="1" x14ac:dyDescent="0.2">
      <c r="AF103" s="32"/>
    </row>
    <row r="104" spans="1:32" ht="15.75" customHeight="1" x14ac:dyDescent="0.2">
      <c r="AF104" s="32"/>
    </row>
    <row r="105" spans="1:32" ht="15.75" customHeight="1" x14ac:dyDescent="0.2">
      <c r="A105" s="34"/>
    </row>
  </sheetData>
  <sortState xmlns:xlrd2="http://schemas.microsoft.com/office/spreadsheetml/2017/richdata2" ref="A2:AF102">
    <sortCondition ref="A2:A102"/>
  </sortState>
  <pageMargins left="0" right="0" top="0" bottom="0" header="0" footer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A86D2-C9B8-491C-8107-3E19EC9DD53B}">
  <dimension ref="A1:S111"/>
  <sheetViews>
    <sheetView topLeftCell="A40" workbookViewId="0">
      <selection activeCell="B86" sqref="B86"/>
    </sheetView>
  </sheetViews>
  <sheetFormatPr baseColWidth="10" defaultColWidth="8.83203125" defaultRowHeight="13" x14ac:dyDescent="0.15"/>
  <cols>
    <col min="1" max="1" width="13.5" customWidth="1"/>
    <col min="2" max="2" width="18.33203125" customWidth="1"/>
  </cols>
  <sheetData>
    <row r="1" spans="1:19" x14ac:dyDescent="0.15">
      <c r="A1" s="1" t="s">
        <v>0</v>
      </c>
      <c r="B1" s="1" t="s">
        <v>257</v>
      </c>
      <c r="C1" s="1" t="s">
        <v>258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  <c r="I1" t="s">
        <v>264</v>
      </c>
      <c r="J1" s="25" t="s">
        <v>265</v>
      </c>
      <c r="L1" s="1" t="s">
        <v>258</v>
      </c>
      <c r="M1" t="s">
        <v>259</v>
      </c>
      <c r="N1" t="s">
        <v>260</v>
      </c>
      <c r="O1" t="s">
        <v>261</v>
      </c>
      <c r="P1" t="s">
        <v>262</v>
      </c>
      <c r="Q1" t="s">
        <v>263</v>
      </c>
      <c r="R1" t="s">
        <v>264</v>
      </c>
      <c r="S1" s="25" t="s">
        <v>265</v>
      </c>
    </row>
    <row r="2" spans="1:19" x14ac:dyDescent="0.15">
      <c r="A2" s="2">
        <v>45193</v>
      </c>
      <c r="B2" s="1" t="s">
        <v>266</v>
      </c>
      <c r="C2">
        <v>19</v>
      </c>
      <c r="D2">
        <v>32</v>
      </c>
      <c r="E2">
        <v>42</v>
      </c>
      <c r="F2">
        <v>35</v>
      </c>
      <c r="G2">
        <v>11</v>
      </c>
      <c r="H2">
        <v>26</v>
      </c>
      <c r="I2">
        <v>29</v>
      </c>
      <c r="J2" s="1">
        <f t="shared" ref="J2:J61" si="0">AVERAGE(C2:I2)</f>
        <v>27.714285714285715</v>
      </c>
    </row>
    <row r="3" spans="1:19" x14ac:dyDescent="0.15">
      <c r="A3" s="2">
        <v>45193</v>
      </c>
      <c r="B3" s="1" t="s">
        <v>267</v>
      </c>
      <c r="C3">
        <v>21</v>
      </c>
      <c r="D3">
        <v>31</v>
      </c>
      <c r="E3">
        <v>46</v>
      </c>
      <c r="F3">
        <v>40</v>
      </c>
      <c r="G3">
        <v>46</v>
      </c>
      <c r="H3">
        <v>34</v>
      </c>
      <c r="J3" s="1">
        <f>AVERAGE(C3:H3)</f>
        <v>36.333333333333336</v>
      </c>
    </row>
    <row r="4" spans="1:19" x14ac:dyDescent="0.15">
      <c r="A4" s="2">
        <v>45193</v>
      </c>
      <c r="B4" s="1" t="s">
        <v>268</v>
      </c>
      <c r="C4">
        <v>10</v>
      </c>
      <c r="D4">
        <v>36</v>
      </c>
      <c r="E4">
        <v>16</v>
      </c>
      <c r="F4">
        <v>30</v>
      </c>
      <c r="G4">
        <v>28</v>
      </c>
      <c r="J4" s="1">
        <f>AVERAGE(C4:H4)</f>
        <v>24</v>
      </c>
    </row>
    <row r="5" spans="1:19" x14ac:dyDescent="0.15">
      <c r="A5" s="2">
        <v>45207</v>
      </c>
      <c r="B5" s="1" t="s">
        <v>269</v>
      </c>
      <c r="D5">
        <v>26</v>
      </c>
      <c r="E5">
        <v>10</v>
      </c>
      <c r="F5">
        <v>16</v>
      </c>
      <c r="G5">
        <v>62</v>
      </c>
      <c r="H5">
        <v>15</v>
      </c>
      <c r="J5" s="1">
        <f>AVERAGE(C5:H5)</f>
        <v>25.8</v>
      </c>
    </row>
    <row r="6" spans="1:19" x14ac:dyDescent="0.15">
      <c r="A6" s="2">
        <v>45207</v>
      </c>
      <c r="B6" s="1" t="s">
        <v>270</v>
      </c>
      <c r="D6">
        <v>25</v>
      </c>
      <c r="E6">
        <v>28</v>
      </c>
      <c r="F6">
        <v>31</v>
      </c>
      <c r="G6">
        <v>22</v>
      </c>
      <c r="H6">
        <v>21</v>
      </c>
      <c r="J6" s="1">
        <f>AVERAGE(C6:H6)</f>
        <v>25.4</v>
      </c>
    </row>
    <row r="7" spans="1:19" x14ac:dyDescent="0.15">
      <c r="A7" s="2">
        <v>45207</v>
      </c>
      <c r="B7" s="1" t="s">
        <v>271</v>
      </c>
      <c r="C7">
        <v>32</v>
      </c>
      <c r="D7">
        <v>33</v>
      </c>
      <c r="E7">
        <v>31</v>
      </c>
      <c r="F7">
        <v>24</v>
      </c>
      <c r="G7">
        <v>25</v>
      </c>
      <c r="H7">
        <v>16</v>
      </c>
      <c r="I7">
        <v>28</v>
      </c>
      <c r="J7" s="1">
        <f t="shared" si="0"/>
        <v>27</v>
      </c>
    </row>
    <row r="8" spans="1:19" x14ac:dyDescent="0.15">
      <c r="A8" s="2">
        <v>45207</v>
      </c>
      <c r="B8" s="1" t="s">
        <v>272</v>
      </c>
      <c r="D8">
        <v>42</v>
      </c>
      <c r="E8">
        <v>16</v>
      </c>
      <c r="F8">
        <v>14</v>
      </c>
      <c r="J8" s="1">
        <f t="shared" si="0"/>
        <v>24</v>
      </c>
    </row>
    <row r="9" spans="1:19" x14ac:dyDescent="0.15">
      <c r="A9" s="2">
        <v>45207</v>
      </c>
      <c r="B9" s="1" t="s">
        <v>273</v>
      </c>
      <c r="D9">
        <v>26</v>
      </c>
      <c r="E9">
        <v>17</v>
      </c>
      <c r="F9">
        <v>23</v>
      </c>
      <c r="J9" s="1">
        <f>AVERAGE(C9:H9)</f>
        <v>22</v>
      </c>
    </row>
    <row r="10" spans="1:19" x14ac:dyDescent="0.15">
      <c r="A10" s="2">
        <v>45207</v>
      </c>
      <c r="B10" s="1" t="s">
        <v>274</v>
      </c>
      <c r="C10">
        <v>17</v>
      </c>
      <c r="D10">
        <v>23</v>
      </c>
      <c r="E10">
        <v>16</v>
      </c>
      <c r="F10">
        <v>22</v>
      </c>
      <c r="G10">
        <v>11</v>
      </c>
      <c r="I10">
        <v>15</v>
      </c>
      <c r="J10" s="1">
        <f t="shared" si="0"/>
        <v>17.333333333333332</v>
      </c>
    </row>
    <row r="11" spans="1:19" x14ac:dyDescent="0.15">
      <c r="A11" s="2">
        <v>45221</v>
      </c>
      <c r="B11" s="1" t="s">
        <v>5</v>
      </c>
      <c r="C11">
        <v>25</v>
      </c>
      <c r="D11">
        <v>45</v>
      </c>
      <c r="E11">
        <v>16</v>
      </c>
      <c r="F11">
        <v>25</v>
      </c>
      <c r="G11">
        <v>20</v>
      </c>
      <c r="H11">
        <v>44</v>
      </c>
      <c r="J11" s="1">
        <f t="shared" si="0"/>
        <v>29.166666666666668</v>
      </c>
      <c r="L11">
        <v>25</v>
      </c>
      <c r="M11">
        <v>45</v>
      </c>
      <c r="N11">
        <v>16</v>
      </c>
      <c r="O11">
        <v>25</v>
      </c>
      <c r="P11">
        <v>20</v>
      </c>
      <c r="Q11">
        <v>44</v>
      </c>
      <c r="S11" s="1">
        <f t="shared" ref="S11:S61" si="1">AVERAGE(L11:R11)</f>
        <v>29.166666666666668</v>
      </c>
    </row>
    <row r="12" spans="1:19" x14ac:dyDescent="0.15">
      <c r="A12" s="2">
        <v>45221</v>
      </c>
      <c r="B12" s="1" t="s">
        <v>7</v>
      </c>
      <c r="C12">
        <v>19</v>
      </c>
      <c r="D12">
        <v>22</v>
      </c>
      <c r="E12">
        <v>19</v>
      </c>
      <c r="F12">
        <v>30</v>
      </c>
      <c r="G12">
        <v>39</v>
      </c>
      <c r="J12" s="1">
        <f>AVERAGE(C12:H12)</f>
        <v>25.8</v>
      </c>
      <c r="L12">
        <v>19</v>
      </c>
      <c r="M12">
        <v>22</v>
      </c>
      <c r="N12">
        <v>19</v>
      </c>
      <c r="O12">
        <v>30</v>
      </c>
      <c r="P12">
        <v>39</v>
      </c>
      <c r="S12" s="1">
        <f>AVERAGE(L12:Q12)</f>
        <v>25.8</v>
      </c>
    </row>
    <row r="13" spans="1:19" x14ac:dyDescent="0.15">
      <c r="A13" s="4">
        <v>45221</v>
      </c>
      <c r="B13" s="1" t="s">
        <v>9</v>
      </c>
      <c r="C13">
        <v>51</v>
      </c>
      <c r="D13">
        <v>39</v>
      </c>
      <c r="E13">
        <v>30</v>
      </c>
      <c r="F13">
        <v>37</v>
      </c>
      <c r="G13">
        <v>90</v>
      </c>
      <c r="J13" s="1">
        <f>AVERAGE(C13:H13)</f>
        <v>49.4</v>
      </c>
      <c r="L13">
        <v>51</v>
      </c>
      <c r="M13">
        <v>39</v>
      </c>
      <c r="N13">
        <v>30</v>
      </c>
      <c r="O13">
        <v>37</v>
      </c>
      <c r="P13">
        <v>90</v>
      </c>
      <c r="S13" s="1">
        <f>AVERAGE(L13:Q13)</f>
        <v>49.4</v>
      </c>
    </row>
    <row r="14" spans="1:19" x14ac:dyDescent="0.15">
      <c r="A14" s="2">
        <v>45238</v>
      </c>
      <c r="B14" s="1" t="s">
        <v>11</v>
      </c>
      <c r="C14">
        <v>36</v>
      </c>
      <c r="D14">
        <v>30</v>
      </c>
      <c r="E14" s="25">
        <v>28</v>
      </c>
      <c r="F14" s="25">
        <v>42</v>
      </c>
      <c r="G14">
        <v>37</v>
      </c>
      <c r="J14" s="1">
        <f>AVERAGE(C14:H14)</f>
        <v>34.6</v>
      </c>
      <c r="L14">
        <v>36</v>
      </c>
      <c r="M14">
        <v>30</v>
      </c>
      <c r="N14" s="25">
        <v>28</v>
      </c>
      <c r="O14" s="25">
        <v>42</v>
      </c>
      <c r="P14">
        <v>37</v>
      </c>
      <c r="S14" s="1">
        <f>AVERAGE(L14:Q14)</f>
        <v>34.6</v>
      </c>
    </row>
    <row r="15" spans="1:19" x14ac:dyDescent="0.15">
      <c r="A15" s="2">
        <v>45238</v>
      </c>
      <c r="B15" s="1" t="s">
        <v>13</v>
      </c>
      <c r="C15">
        <v>20</v>
      </c>
      <c r="E15" s="25">
        <v>41</v>
      </c>
      <c r="F15">
        <v>30</v>
      </c>
      <c r="G15">
        <v>9</v>
      </c>
      <c r="J15" s="1">
        <f t="shared" si="0"/>
        <v>25</v>
      </c>
      <c r="L15">
        <v>20</v>
      </c>
      <c r="N15" s="25">
        <v>41</v>
      </c>
      <c r="O15">
        <v>30</v>
      </c>
      <c r="P15">
        <v>9</v>
      </c>
      <c r="S15" s="1">
        <f t="shared" si="1"/>
        <v>25</v>
      </c>
    </row>
    <row r="16" spans="1:19" x14ac:dyDescent="0.15">
      <c r="A16" s="6">
        <v>45238</v>
      </c>
      <c r="B16" s="1" t="s">
        <v>15</v>
      </c>
      <c r="E16" s="25">
        <v>33</v>
      </c>
      <c r="F16">
        <v>20</v>
      </c>
      <c r="G16">
        <v>6</v>
      </c>
      <c r="J16" s="1">
        <f t="shared" si="0"/>
        <v>19.666666666666668</v>
      </c>
      <c r="N16" s="25">
        <v>33</v>
      </c>
      <c r="O16">
        <v>20</v>
      </c>
      <c r="P16">
        <v>6</v>
      </c>
      <c r="S16" s="1">
        <f t="shared" si="1"/>
        <v>19.666666666666668</v>
      </c>
    </row>
    <row r="17" spans="1:19" x14ac:dyDescent="0.15">
      <c r="A17" s="2">
        <v>45241</v>
      </c>
      <c r="B17" s="1" t="s">
        <v>17</v>
      </c>
      <c r="C17">
        <v>41</v>
      </c>
      <c r="D17">
        <v>32</v>
      </c>
      <c r="F17">
        <v>24</v>
      </c>
      <c r="G17">
        <v>32</v>
      </c>
      <c r="J17" s="1">
        <f t="shared" si="0"/>
        <v>32.25</v>
      </c>
      <c r="L17">
        <v>41</v>
      </c>
      <c r="M17">
        <v>32</v>
      </c>
      <c r="O17">
        <v>24</v>
      </c>
      <c r="P17">
        <v>32</v>
      </c>
      <c r="S17" s="1">
        <f t="shared" si="1"/>
        <v>32.25</v>
      </c>
    </row>
    <row r="18" spans="1:19" x14ac:dyDescent="0.15">
      <c r="A18" s="2">
        <v>45241</v>
      </c>
      <c r="B18" s="1" t="s">
        <v>19</v>
      </c>
      <c r="C18">
        <v>30</v>
      </c>
      <c r="E18">
        <v>35</v>
      </c>
      <c r="F18">
        <v>33</v>
      </c>
      <c r="G18">
        <v>33</v>
      </c>
      <c r="J18" s="1">
        <f t="shared" si="0"/>
        <v>32.75</v>
      </c>
      <c r="L18">
        <v>30</v>
      </c>
      <c r="N18">
        <v>35</v>
      </c>
      <c r="O18">
        <v>33</v>
      </c>
      <c r="P18">
        <v>33</v>
      </c>
      <c r="S18" s="1">
        <f t="shared" si="1"/>
        <v>32.75</v>
      </c>
    </row>
    <row r="19" spans="1:19" x14ac:dyDescent="0.15">
      <c r="A19" s="7">
        <v>45241</v>
      </c>
      <c r="B19" s="1" t="s">
        <v>21</v>
      </c>
      <c r="C19">
        <v>28</v>
      </c>
      <c r="E19">
        <v>28</v>
      </c>
      <c r="F19">
        <v>140</v>
      </c>
      <c r="G19">
        <v>21</v>
      </c>
      <c r="J19" s="1">
        <f t="shared" si="0"/>
        <v>54.25</v>
      </c>
      <c r="L19">
        <v>28</v>
      </c>
      <c r="N19">
        <v>28</v>
      </c>
      <c r="O19">
        <v>140</v>
      </c>
      <c r="P19">
        <v>21</v>
      </c>
      <c r="S19" s="1">
        <f t="shared" si="1"/>
        <v>54.25</v>
      </c>
    </row>
    <row r="20" spans="1:19" x14ac:dyDescent="0.15">
      <c r="A20" s="2">
        <v>45263</v>
      </c>
      <c r="B20" s="1" t="s">
        <v>23</v>
      </c>
      <c r="C20">
        <v>23</v>
      </c>
      <c r="D20">
        <v>13</v>
      </c>
      <c r="E20">
        <v>9</v>
      </c>
      <c r="F20">
        <v>20</v>
      </c>
      <c r="G20">
        <v>11</v>
      </c>
      <c r="J20" s="1">
        <f t="shared" si="0"/>
        <v>15.2</v>
      </c>
      <c r="L20">
        <v>23</v>
      </c>
      <c r="M20">
        <v>13</v>
      </c>
      <c r="N20">
        <v>9</v>
      </c>
      <c r="O20">
        <v>20</v>
      </c>
      <c r="P20">
        <v>11</v>
      </c>
      <c r="S20" s="1">
        <f t="shared" si="1"/>
        <v>15.2</v>
      </c>
    </row>
    <row r="21" spans="1:19" x14ac:dyDescent="0.15">
      <c r="A21" s="2">
        <v>45263</v>
      </c>
      <c r="B21" s="1" t="s">
        <v>25</v>
      </c>
      <c r="C21">
        <v>17</v>
      </c>
      <c r="E21">
        <v>18</v>
      </c>
      <c r="G21">
        <v>23</v>
      </c>
      <c r="J21" s="1">
        <f t="shared" si="0"/>
        <v>19.333333333333332</v>
      </c>
      <c r="L21">
        <v>17</v>
      </c>
      <c r="N21">
        <v>18</v>
      </c>
      <c r="P21">
        <v>23</v>
      </c>
      <c r="S21" s="1">
        <f t="shared" si="1"/>
        <v>19.333333333333332</v>
      </c>
    </row>
    <row r="22" spans="1:19" x14ac:dyDescent="0.15">
      <c r="A22" s="2">
        <v>45263</v>
      </c>
      <c r="B22" s="1" t="s">
        <v>27</v>
      </c>
      <c r="C22">
        <v>12</v>
      </c>
      <c r="D22">
        <v>12</v>
      </c>
      <c r="E22">
        <v>8</v>
      </c>
      <c r="G22">
        <v>20</v>
      </c>
      <c r="J22" s="1">
        <f t="shared" si="0"/>
        <v>13</v>
      </c>
      <c r="L22">
        <v>12</v>
      </c>
      <c r="M22">
        <v>12</v>
      </c>
      <c r="N22">
        <v>8</v>
      </c>
      <c r="P22">
        <v>20</v>
      </c>
      <c r="S22" s="1">
        <f t="shared" si="1"/>
        <v>13</v>
      </c>
    </row>
    <row r="23" spans="1:19" x14ac:dyDescent="0.15">
      <c r="A23" s="2">
        <v>45265</v>
      </c>
      <c r="B23" s="1" t="s">
        <v>29</v>
      </c>
      <c r="C23">
        <v>25</v>
      </c>
      <c r="E23">
        <v>21</v>
      </c>
      <c r="G23">
        <v>24</v>
      </c>
      <c r="J23" s="1">
        <f t="shared" si="0"/>
        <v>23.333333333333332</v>
      </c>
      <c r="L23">
        <v>25</v>
      </c>
      <c r="N23">
        <v>21</v>
      </c>
      <c r="P23">
        <v>24</v>
      </c>
      <c r="S23" s="1">
        <f t="shared" si="1"/>
        <v>23.333333333333332</v>
      </c>
    </row>
    <row r="24" spans="1:19" x14ac:dyDescent="0.15">
      <c r="A24" s="2">
        <v>45265</v>
      </c>
      <c r="B24" s="1" t="s">
        <v>31</v>
      </c>
      <c r="E24">
        <v>31</v>
      </c>
      <c r="J24" s="1">
        <f t="shared" si="0"/>
        <v>31</v>
      </c>
      <c r="N24">
        <v>31</v>
      </c>
      <c r="S24" s="1">
        <f t="shared" si="1"/>
        <v>31</v>
      </c>
    </row>
    <row r="25" spans="1:19" x14ac:dyDescent="0.15">
      <c r="A25" s="4">
        <v>45265</v>
      </c>
      <c r="B25" s="1" t="s">
        <v>33</v>
      </c>
      <c r="E25">
        <v>21</v>
      </c>
      <c r="J25" s="1">
        <f t="shared" si="0"/>
        <v>21</v>
      </c>
      <c r="N25">
        <v>21</v>
      </c>
      <c r="S25" s="1">
        <f t="shared" si="1"/>
        <v>21</v>
      </c>
    </row>
    <row r="26" spans="1:19" x14ac:dyDescent="0.15">
      <c r="A26" s="2">
        <v>45312</v>
      </c>
      <c r="B26" s="1" t="s">
        <v>35</v>
      </c>
      <c r="E26">
        <v>57</v>
      </c>
      <c r="I26">
        <v>33</v>
      </c>
      <c r="J26" s="1">
        <f t="shared" si="0"/>
        <v>45</v>
      </c>
      <c r="N26">
        <v>57</v>
      </c>
      <c r="R26">
        <v>33</v>
      </c>
      <c r="S26" s="1">
        <f t="shared" si="1"/>
        <v>45</v>
      </c>
    </row>
    <row r="27" spans="1:19" x14ac:dyDescent="0.15">
      <c r="A27" s="2">
        <v>45312</v>
      </c>
      <c r="B27" s="1" t="s">
        <v>37</v>
      </c>
      <c r="E27">
        <v>73</v>
      </c>
      <c r="I27">
        <v>86</v>
      </c>
      <c r="J27" s="1">
        <f t="shared" si="0"/>
        <v>79.5</v>
      </c>
      <c r="N27">
        <v>73</v>
      </c>
      <c r="R27">
        <v>86</v>
      </c>
      <c r="S27" s="1">
        <f t="shared" si="1"/>
        <v>79.5</v>
      </c>
    </row>
    <row r="28" spans="1:19" x14ac:dyDescent="0.15">
      <c r="A28" s="2">
        <v>45312</v>
      </c>
      <c r="B28" s="1" t="s">
        <v>39</v>
      </c>
      <c r="E28">
        <v>60</v>
      </c>
      <c r="J28" s="1">
        <f t="shared" si="0"/>
        <v>60</v>
      </c>
      <c r="N28">
        <v>60</v>
      </c>
      <c r="S28" s="1">
        <f t="shared" si="1"/>
        <v>60</v>
      </c>
    </row>
    <row r="29" spans="1:19" x14ac:dyDescent="0.15">
      <c r="A29" s="2">
        <v>45321</v>
      </c>
      <c r="B29" s="1" t="s">
        <v>41</v>
      </c>
      <c r="E29">
        <v>105</v>
      </c>
      <c r="J29" s="1">
        <f t="shared" si="0"/>
        <v>105</v>
      </c>
      <c r="N29">
        <v>105</v>
      </c>
      <c r="S29" s="1">
        <f t="shared" si="1"/>
        <v>105</v>
      </c>
    </row>
    <row r="30" spans="1:19" x14ac:dyDescent="0.15">
      <c r="A30" s="2">
        <v>45321</v>
      </c>
      <c r="B30" s="1" t="s">
        <v>43</v>
      </c>
      <c r="E30">
        <v>105</v>
      </c>
      <c r="J30" s="1">
        <f t="shared" si="0"/>
        <v>105</v>
      </c>
      <c r="N30">
        <v>105</v>
      </c>
      <c r="S30" s="1">
        <f t="shared" si="1"/>
        <v>105</v>
      </c>
    </row>
    <row r="31" spans="1:19" x14ac:dyDescent="0.15">
      <c r="A31" s="2">
        <v>45321</v>
      </c>
      <c r="B31" s="1" t="s">
        <v>45</v>
      </c>
      <c r="E31">
        <v>45</v>
      </c>
      <c r="J31" s="1">
        <f t="shared" si="0"/>
        <v>45</v>
      </c>
      <c r="N31">
        <v>45</v>
      </c>
      <c r="S31" s="1">
        <f t="shared" si="1"/>
        <v>45</v>
      </c>
    </row>
    <row r="32" spans="1:19" x14ac:dyDescent="0.15">
      <c r="A32" s="2">
        <v>45321</v>
      </c>
      <c r="B32" s="1" t="s">
        <v>47</v>
      </c>
      <c r="E32">
        <v>29</v>
      </c>
      <c r="J32" s="1">
        <f t="shared" si="0"/>
        <v>29</v>
      </c>
      <c r="N32">
        <v>29</v>
      </c>
      <c r="S32" s="1">
        <f t="shared" si="1"/>
        <v>29</v>
      </c>
    </row>
    <row r="33" spans="1:19" x14ac:dyDescent="0.15">
      <c r="A33" s="2">
        <v>45321</v>
      </c>
      <c r="B33" s="1" t="s">
        <v>49</v>
      </c>
      <c r="E33">
        <v>42</v>
      </c>
      <c r="J33" s="1">
        <f t="shared" si="0"/>
        <v>42</v>
      </c>
      <c r="N33">
        <v>42</v>
      </c>
      <c r="S33" s="1">
        <f t="shared" si="1"/>
        <v>42</v>
      </c>
    </row>
    <row r="34" spans="1:19" x14ac:dyDescent="0.15">
      <c r="A34" s="2">
        <v>45321</v>
      </c>
      <c r="B34" s="1" t="s">
        <v>51</v>
      </c>
      <c r="E34">
        <v>30</v>
      </c>
      <c r="J34" s="1">
        <f t="shared" si="0"/>
        <v>30</v>
      </c>
      <c r="N34">
        <v>30</v>
      </c>
      <c r="S34" s="1">
        <f t="shared" si="1"/>
        <v>30</v>
      </c>
    </row>
    <row r="35" spans="1:19" x14ac:dyDescent="0.15">
      <c r="A35" s="2">
        <v>45326</v>
      </c>
      <c r="B35" s="1" t="s">
        <v>53</v>
      </c>
      <c r="E35">
        <v>23</v>
      </c>
      <c r="J35" s="1">
        <f t="shared" si="0"/>
        <v>23</v>
      </c>
      <c r="N35">
        <v>23</v>
      </c>
      <c r="S35" s="1">
        <f t="shared" si="1"/>
        <v>23</v>
      </c>
    </row>
    <row r="36" spans="1:19" x14ac:dyDescent="0.15">
      <c r="A36" s="2">
        <v>45326</v>
      </c>
      <c r="B36" s="1" t="s">
        <v>55</v>
      </c>
      <c r="E36">
        <v>54</v>
      </c>
      <c r="J36" s="1">
        <f t="shared" si="0"/>
        <v>54</v>
      </c>
      <c r="N36">
        <v>54</v>
      </c>
      <c r="S36" s="1">
        <f t="shared" si="1"/>
        <v>54</v>
      </c>
    </row>
    <row r="37" spans="1:19" x14ac:dyDescent="0.15">
      <c r="A37" s="2">
        <v>45326</v>
      </c>
      <c r="B37" s="1" t="s">
        <v>57</v>
      </c>
      <c r="E37">
        <v>18</v>
      </c>
      <c r="J37" s="1">
        <f t="shared" si="0"/>
        <v>18</v>
      </c>
      <c r="N37">
        <v>18</v>
      </c>
      <c r="S37" s="1">
        <f t="shared" si="1"/>
        <v>18</v>
      </c>
    </row>
    <row r="38" spans="1:19" x14ac:dyDescent="0.15">
      <c r="A38" s="2">
        <v>45330</v>
      </c>
      <c r="B38" s="1" t="s">
        <v>59</v>
      </c>
      <c r="E38">
        <v>29</v>
      </c>
      <c r="J38" s="1">
        <f t="shared" si="0"/>
        <v>29</v>
      </c>
      <c r="N38">
        <v>29</v>
      </c>
      <c r="S38" s="1">
        <f t="shared" si="1"/>
        <v>29</v>
      </c>
    </row>
    <row r="39" spans="1:19" x14ac:dyDescent="0.15">
      <c r="A39" s="2">
        <v>45330</v>
      </c>
      <c r="B39" s="1" t="s">
        <v>61</v>
      </c>
      <c r="E39">
        <v>35</v>
      </c>
      <c r="J39" s="1">
        <f t="shared" si="0"/>
        <v>35</v>
      </c>
      <c r="N39">
        <v>35</v>
      </c>
      <c r="S39" s="1">
        <f t="shared" si="1"/>
        <v>35</v>
      </c>
    </row>
    <row r="40" spans="1:19" x14ac:dyDescent="0.15">
      <c r="A40" s="2">
        <v>45330</v>
      </c>
      <c r="B40" s="1" t="s">
        <v>62</v>
      </c>
      <c r="E40">
        <v>45</v>
      </c>
      <c r="J40" s="1">
        <f t="shared" si="0"/>
        <v>45</v>
      </c>
      <c r="N40">
        <v>45</v>
      </c>
      <c r="S40" s="1">
        <f t="shared" si="1"/>
        <v>45</v>
      </c>
    </row>
    <row r="41" spans="1:19" x14ac:dyDescent="0.15">
      <c r="A41" s="2">
        <v>45336</v>
      </c>
      <c r="B41" s="1" t="s">
        <v>64</v>
      </c>
      <c r="E41">
        <v>95</v>
      </c>
      <c r="J41" s="1">
        <f t="shared" si="0"/>
        <v>95</v>
      </c>
      <c r="N41">
        <v>95</v>
      </c>
      <c r="S41" s="1">
        <f t="shared" si="1"/>
        <v>95</v>
      </c>
    </row>
    <row r="42" spans="1:19" x14ac:dyDescent="0.15">
      <c r="A42" s="2">
        <v>45336</v>
      </c>
      <c r="B42" s="1" t="s">
        <v>66</v>
      </c>
      <c r="E42">
        <v>134</v>
      </c>
      <c r="J42" s="1">
        <f t="shared" si="0"/>
        <v>134</v>
      </c>
      <c r="N42">
        <v>134</v>
      </c>
      <c r="S42" s="1">
        <f t="shared" si="1"/>
        <v>134</v>
      </c>
    </row>
    <row r="43" spans="1:19" x14ac:dyDescent="0.15">
      <c r="A43" s="2">
        <v>45336</v>
      </c>
      <c r="B43" s="1" t="s">
        <v>68</v>
      </c>
      <c r="E43">
        <v>178</v>
      </c>
      <c r="J43" s="1">
        <f t="shared" si="0"/>
        <v>178</v>
      </c>
      <c r="N43">
        <v>178</v>
      </c>
      <c r="S43" s="1">
        <f t="shared" si="1"/>
        <v>178</v>
      </c>
    </row>
    <row r="44" spans="1:19" x14ac:dyDescent="0.15">
      <c r="A44" s="2">
        <v>45347</v>
      </c>
      <c r="B44" s="1" t="s">
        <v>70</v>
      </c>
      <c r="E44">
        <v>92</v>
      </c>
      <c r="J44" s="1">
        <f t="shared" si="0"/>
        <v>92</v>
      </c>
      <c r="N44">
        <v>92</v>
      </c>
      <c r="S44" s="1">
        <f t="shared" si="1"/>
        <v>92</v>
      </c>
    </row>
    <row r="45" spans="1:19" x14ac:dyDescent="0.15">
      <c r="A45" s="2">
        <v>45347</v>
      </c>
      <c r="B45" s="1" t="s">
        <v>72</v>
      </c>
      <c r="C45">
        <v>235</v>
      </c>
      <c r="E45">
        <v>170</v>
      </c>
      <c r="J45" s="1">
        <f t="shared" si="0"/>
        <v>202.5</v>
      </c>
      <c r="L45">
        <v>235</v>
      </c>
      <c r="N45">
        <v>170</v>
      </c>
      <c r="S45" s="1">
        <f t="shared" si="1"/>
        <v>202.5</v>
      </c>
    </row>
    <row r="46" spans="1:19" x14ac:dyDescent="0.15">
      <c r="A46" s="2">
        <v>45347</v>
      </c>
      <c r="B46" s="1" t="s">
        <v>74</v>
      </c>
      <c r="C46">
        <v>234</v>
      </c>
      <c r="E46">
        <v>169</v>
      </c>
      <c r="F46">
        <v>190</v>
      </c>
      <c r="J46" s="1">
        <f t="shared" si="0"/>
        <v>197.66666666666666</v>
      </c>
      <c r="L46">
        <v>234</v>
      </c>
      <c r="N46">
        <v>169</v>
      </c>
      <c r="O46">
        <v>190</v>
      </c>
      <c r="S46" s="1">
        <f t="shared" si="1"/>
        <v>197.66666666666666</v>
      </c>
    </row>
    <row r="47" spans="1:19" x14ac:dyDescent="0.15">
      <c r="A47" s="2">
        <v>45356</v>
      </c>
      <c r="B47" s="1" t="s">
        <v>76</v>
      </c>
      <c r="E47">
        <v>121</v>
      </c>
      <c r="F47">
        <v>133</v>
      </c>
      <c r="J47" s="1">
        <f t="shared" si="0"/>
        <v>127</v>
      </c>
      <c r="N47">
        <v>121</v>
      </c>
      <c r="O47">
        <v>133</v>
      </c>
      <c r="S47" s="1">
        <f t="shared" si="1"/>
        <v>127</v>
      </c>
    </row>
    <row r="48" spans="1:19" x14ac:dyDescent="0.15">
      <c r="A48" s="2">
        <v>45356</v>
      </c>
      <c r="B48" s="1" t="s">
        <v>78</v>
      </c>
      <c r="E48">
        <v>76</v>
      </c>
      <c r="F48">
        <v>79</v>
      </c>
      <c r="J48" s="1">
        <f t="shared" si="0"/>
        <v>77.5</v>
      </c>
      <c r="N48">
        <v>76</v>
      </c>
      <c r="O48">
        <v>79</v>
      </c>
      <c r="S48" s="1">
        <f t="shared" si="1"/>
        <v>77.5</v>
      </c>
    </row>
    <row r="49" spans="1:19" x14ac:dyDescent="0.15">
      <c r="A49" s="2">
        <v>45356</v>
      </c>
      <c r="B49" s="1" t="s">
        <v>80</v>
      </c>
      <c r="E49">
        <v>261</v>
      </c>
      <c r="J49" s="1">
        <f t="shared" si="0"/>
        <v>261</v>
      </c>
      <c r="N49">
        <v>261</v>
      </c>
      <c r="S49" s="1">
        <f t="shared" si="1"/>
        <v>261</v>
      </c>
    </row>
    <row r="50" spans="1:19" x14ac:dyDescent="0.15">
      <c r="A50" s="2">
        <v>45356</v>
      </c>
      <c r="B50" s="1" t="s">
        <v>82</v>
      </c>
      <c r="E50" s="25"/>
      <c r="F50">
        <v>134</v>
      </c>
      <c r="J50" s="1">
        <f t="shared" si="0"/>
        <v>134</v>
      </c>
      <c r="N50" s="25"/>
      <c r="O50">
        <v>134</v>
      </c>
      <c r="S50" s="1">
        <f t="shared" si="1"/>
        <v>134</v>
      </c>
    </row>
    <row r="51" spans="1:19" x14ac:dyDescent="0.15">
      <c r="A51" s="2">
        <v>45356</v>
      </c>
      <c r="B51" s="1" t="s">
        <v>84</v>
      </c>
      <c r="F51">
        <v>130</v>
      </c>
      <c r="J51" s="1">
        <f t="shared" si="0"/>
        <v>130</v>
      </c>
      <c r="O51">
        <v>130</v>
      </c>
      <c r="S51" s="1">
        <f t="shared" si="1"/>
        <v>130</v>
      </c>
    </row>
    <row r="52" spans="1:19" x14ac:dyDescent="0.15">
      <c r="A52" s="2">
        <v>45356</v>
      </c>
      <c r="B52" s="1" t="s">
        <v>86</v>
      </c>
      <c r="F52">
        <v>160</v>
      </c>
      <c r="J52" s="1">
        <f t="shared" si="0"/>
        <v>160</v>
      </c>
      <c r="O52">
        <v>160</v>
      </c>
      <c r="S52" s="1">
        <f t="shared" si="1"/>
        <v>160</v>
      </c>
    </row>
    <row r="53" spans="1:19" x14ac:dyDescent="0.15">
      <c r="A53" s="26">
        <v>45364</v>
      </c>
      <c r="B53" s="1" t="s">
        <v>87</v>
      </c>
      <c r="E53">
        <v>55</v>
      </c>
      <c r="F53">
        <v>64</v>
      </c>
      <c r="J53" s="1">
        <f t="shared" si="0"/>
        <v>59.5</v>
      </c>
      <c r="N53">
        <v>55</v>
      </c>
      <c r="O53">
        <v>64</v>
      </c>
      <c r="S53" s="1">
        <f t="shared" si="1"/>
        <v>59.5</v>
      </c>
    </row>
    <row r="54" spans="1:19" x14ac:dyDescent="0.15">
      <c r="A54" s="26">
        <v>45364</v>
      </c>
      <c r="B54" s="1" t="s">
        <v>89</v>
      </c>
      <c r="E54">
        <v>36</v>
      </c>
      <c r="F54">
        <v>42</v>
      </c>
      <c r="J54" s="1">
        <f t="shared" si="0"/>
        <v>39</v>
      </c>
      <c r="N54">
        <v>36</v>
      </c>
      <c r="O54">
        <v>42</v>
      </c>
      <c r="S54" s="1">
        <f t="shared" si="1"/>
        <v>39</v>
      </c>
    </row>
    <row r="55" spans="1:19" x14ac:dyDescent="0.15">
      <c r="A55" s="26">
        <v>45364</v>
      </c>
      <c r="B55" s="1" t="s">
        <v>91</v>
      </c>
      <c r="E55">
        <v>44</v>
      </c>
      <c r="J55" s="1">
        <f t="shared" si="0"/>
        <v>44</v>
      </c>
      <c r="N55">
        <v>44</v>
      </c>
      <c r="S55" s="1">
        <f t="shared" si="1"/>
        <v>44</v>
      </c>
    </row>
    <row r="56" spans="1:19" x14ac:dyDescent="0.15">
      <c r="A56" s="26">
        <v>45367</v>
      </c>
      <c r="B56" s="1" t="s">
        <v>93</v>
      </c>
      <c r="E56">
        <v>83</v>
      </c>
      <c r="J56" s="1">
        <f t="shared" si="0"/>
        <v>83</v>
      </c>
      <c r="N56">
        <v>83</v>
      </c>
      <c r="S56" s="1">
        <f t="shared" si="1"/>
        <v>83</v>
      </c>
    </row>
    <row r="57" spans="1:19" x14ac:dyDescent="0.15">
      <c r="A57" s="26">
        <v>45367</v>
      </c>
      <c r="B57" s="1" t="s">
        <v>95</v>
      </c>
      <c r="E57">
        <v>99</v>
      </c>
      <c r="J57" s="1">
        <f t="shared" si="0"/>
        <v>99</v>
      </c>
      <c r="N57">
        <v>99</v>
      </c>
      <c r="S57" s="1">
        <f t="shared" si="1"/>
        <v>99</v>
      </c>
    </row>
    <row r="58" spans="1:19" x14ac:dyDescent="0.15">
      <c r="A58" s="26">
        <v>45367</v>
      </c>
      <c r="B58" s="1" t="s">
        <v>97</v>
      </c>
      <c r="E58">
        <v>75</v>
      </c>
      <c r="J58" s="1">
        <f t="shared" si="0"/>
        <v>75</v>
      </c>
      <c r="N58">
        <v>75</v>
      </c>
      <c r="S58" s="1">
        <f t="shared" si="1"/>
        <v>75</v>
      </c>
    </row>
    <row r="59" spans="1:19" x14ac:dyDescent="0.15">
      <c r="A59" s="26">
        <v>45375</v>
      </c>
      <c r="B59" s="1" t="s">
        <v>99</v>
      </c>
      <c r="E59">
        <v>117</v>
      </c>
      <c r="J59" s="1">
        <f t="shared" si="0"/>
        <v>117</v>
      </c>
      <c r="N59">
        <v>117</v>
      </c>
      <c r="S59" s="1">
        <f t="shared" si="1"/>
        <v>117</v>
      </c>
    </row>
    <row r="60" spans="1:19" x14ac:dyDescent="0.15">
      <c r="A60" s="26">
        <v>45375</v>
      </c>
      <c r="B60" s="1" t="s">
        <v>101</v>
      </c>
      <c r="E60">
        <v>86</v>
      </c>
      <c r="J60" s="1">
        <f t="shared" si="0"/>
        <v>86</v>
      </c>
      <c r="N60">
        <v>86</v>
      </c>
      <c r="S60" s="1">
        <f t="shared" si="1"/>
        <v>86</v>
      </c>
    </row>
    <row r="61" spans="1:19" x14ac:dyDescent="0.15">
      <c r="A61" s="26">
        <v>45375</v>
      </c>
      <c r="B61" s="1" t="s">
        <v>103</v>
      </c>
      <c r="E61">
        <v>83</v>
      </c>
      <c r="J61" s="1">
        <f t="shared" si="0"/>
        <v>83</v>
      </c>
      <c r="N61">
        <v>83</v>
      </c>
      <c r="S61" s="1">
        <f t="shared" si="1"/>
        <v>83</v>
      </c>
    </row>
    <row r="62" spans="1:19" x14ac:dyDescent="0.15">
      <c r="A62" s="26">
        <v>45389</v>
      </c>
      <c r="B62" s="1" t="s">
        <v>105</v>
      </c>
      <c r="J62" s="1"/>
    </row>
    <row r="63" spans="1:19" x14ac:dyDescent="0.15">
      <c r="A63" s="26">
        <v>45389</v>
      </c>
      <c r="B63" s="1" t="s">
        <v>107</v>
      </c>
    </row>
    <row r="64" spans="1:19" x14ac:dyDescent="0.15">
      <c r="A64" s="26">
        <v>45389</v>
      </c>
      <c r="B64" s="1" t="s">
        <v>109</v>
      </c>
    </row>
    <row r="65" spans="1:2" x14ac:dyDescent="0.15">
      <c r="A65" s="26">
        <v>45389</v>
      </c>
      <c r="B65" s="1" t="s">
        <v>111</v>
      </c>
    </row>
    <row r="66" spans="1:2" x14ac:dyDescent="0.15">
      <c r="A66" s="28">
        <v>45410</v>
      </c>
      <c r="B66" s="25" t="s">
        <v>113</v>
      </c>
    </row>
    <row r="67" spans="1:2" x14ac:dyDescent="0.15">
      <c r="A67" s="28">
        <v>45410</v>
      </c>
      <c r="B67" s="25" t="s">
        <v>115</v>
      </c>
    </row>
    <row r="68" spans="1:2" x14ac:dyDescent="0.15">
      <c r="A68" s="28">
        <v>45410</v>
      </c>
      <c r="B68" s="25" t="s">
        <v>117</v>
      </c>
    </row>
    <row r="69" spans="1:2" x14ac:dyDescent="0.15">
      <c r="A69" s="26">
        <v>45413</v>
      </c>
      <c r="B69" s="1" t="s">
        <v>119</v>
      </c>
    </row>
    <row r="70" spans="1:2" x14ac:dyDescent="0.15">
      <c r="A70" s="26">
        <v>45413</v>
      </c>
      <c r="B70" s="1" t="s">
        <v>120</v>
      </c>
    </row>
    <row r="71" spans="1:2" x14ac:dyDescent="0.15">
      <c r="A71" s="26">
        <v>45413</v>
      </c>
      <c r="B71" s="1" t="s">
        <v>121</v>
      </c>
    </row>
    <row r="72" spans="1:2" x14ac:dyDescent="0.15">
      <c r="A72" s="26">
        <v>45422</v>
      </c>
      <c r="B72" s="25" t="s">
        <v>122</v>
      </c>
    </row>
    <row r="73" spans="1:2" x14ac:dyDescent="0.15">
      <c r="A73" s="26">
        <v>45422</v>
      </c>
      <c r="B73" s="25" t="s">
        <v>123</v>
      </c>
    </row>
    <row r="74" spans="1:2" x14ac:dyDescent="0.15">
      <c r="A74" s="26">
        <v>45422</v>
      </c>
      <c r="B74" s="25" t="s">
        <v>124</v>
      </c>
    </row>
    <row r="75" spans="1:2" x14ac:dyDescent="0.15">
      <c r="A75" s="26">
        <v>45423</v>
      </c>
      <c r="B75" s="1" t="s">
        <v>125</v>
      </c>
    </row>
    <row r="76" spans="1:2" x14ac:dyDescent="0.15">
      <c r="A76" s="26">
        <v>45423</v>
      </c>
      <c r="B76" s="1" t="s">
        <v>126</v>
      </c>
    </row>
    <row r="77" spans="1:2" x14ac:dyDescent="0.15">
      <c r="A77" s="26">
        <v>45423</v>
      </c>
      <c r="B77" s="1" t="s">
        <v>127</v>
      </c>
    </row>
    <row r="78" spans="1:2" x14ac:dyDescent="0.15">
      <c r="A78" s="26">
        <v>45428</v>
      </c>
      <c r="B78" s="25" t="s">
        <v>128</v>
      </c>
    </row>
    <row r="79" spans="1:2" x14ac:dyDescent="0.15">
      <c r="A79" s="26">
        <v>45428</v>
      </c>
      <c r="B79" s="25" t="s">
        <v>129</v>
      </c>
    </row>
    <row r="80" spans="1:2" x14ac:dyDescent="0.15">
      <c r="A80" s="26">
        <v>45428</v>
      </c>
      <c r="B80" s="25" t="s">
        <v>130</v>
      </c>
    </row>
    <row r="81" spans="1:2" x14ac:dyDescent="0.15">
      <c r="A81" s="26">
        <v>45433</v>
      </c>
      <c r="B81" t="s">
        <v>131</v>
      </c>
    </row>
    <row r="82" spans="1:2" x14ac:dyDescent="0.15">
      <c r="A82" s="26">
        <v>45433</v>
      </c>
      <c r="B82" t="s">
        <v>132</v>
      </c>
    </row>
    <row r="83" spans="1:2" x14ac:dyDescent="0.15">
      <c r="A83" s="26">
        <v>45433</v>
      </c>
      <c r="B83" t="s">
        <v>133</v>
      </c>
    </row>
    <row r="84" spans="1:2" x14ac:dyDescent="0.15">
      <c r="A84" s="26">
        <v>45433</v>
      </c>
      <c r="B84" t="s">
        <v>134</v>
      </c>
    </row>
    <row r="85" spans="1:2" x14ac:dyDescent="0.15">
      <c r="A85" s="26">
        <v>45433</v>
      </c>
      <c r="B85" t="s">
        <v>135</v>
      </c>
    </row>
    <row r="86" spans="1:2" x14ac:dyDescent="0.15">
      <c r="A86" s="26">
        <v>45433</v>
      </c>
      <c r="B86" s="25" t="s">
        <v>136</v>
      </c>
    </row>
    <row r="87" spans="1:2" x14ac:dyDescent="0.15">
      <c r="A87" s="26">
        <v>45433</v>
      </c>
      <c r="B87" t="s">
        <v>137</v>
      </c>
    </row>
    <row r="88" spans="1:2" x14ac:dyDescent="0.15">
      <c r="A88" s="26">
        <v>45433</v>
      </c>
      <c r="B88" t="s">
        <v>138</v>
      </c>
    </row>
    <row r="89" spans="1:2" x14ac:dyDescent="0.15">
      <c r="A89" s="26">
        <v>45462</v>
      </c>
      <c r="B89" s="1" t="s">
        <v>139</v>
      </c>
    </row>
    <row r="90" spans="1:2" x14ac:dyDescent="0.15">
      <c r="A90" s="26">
        <v>45462</v>
      </c>
      <c r="B90" s="1" t="s">
        <v>140</v>
      </c>
    </row>
    <row r="91" spans="1:2" x14ac:dyDescent="0.15">
      <c r="A91" s="26">
        <v>45462</v>
      </c>
      <c r="B91" s="1" t="s">
        <v>141</v>
      </c>
    </row>
    <row r="92" spans="1:2" x14ac:dyDescent="0.15">
      <c r="A92" s="26">
        <v>45464</v>
      </c>
      <c r="B92" s="1" t="s">
        <v>142</v>
      </c>
    </row>
    <row r="93" spans="1:2" x14ac:dyDescent="0.15">
      <c r="A93" s="26">
        <v>45464</v>
      </c>
      <c r="B93" s="1" t="s">
        <v>143</v>
      </c>
    </row>
    <row r="94" spans="1:2" x14ac:dyDescent="0.15">
      <c r="A94" s="26">
        <v>45464</v>
      </c>
      <c r="B94" s="1" t="s">
        <v>144</v>
      </c>
    </row>
    <row r="95" spans="1:2" x14ac:dyDescent="0.15">
      <c r="A95" s="26">
        <v>45470</v>
      </c>
      <c r="B95" t="s">
        <v>145</v>
      </c>
    </row>
    <row r="96" spans="1:2" x14ac:dyDescent="0.15">
      <c r="A96" s="26">
        <v>45470</v>
      </c>
      <c r="B96" t="s">
        <v>146</v>
      </c>
    </row>
    <row r="97" spans="1:2" x14ac:dyDescent="0.15">
      <c r="A97" s="26">
        <v>45470</v>
      </c>
      <c r="B97" t="s">
        <v>147</v>
      </c>
    </row>
    <row r="98" spans="1:2" x14ac:dyDescent="0.15">
      <c r="A98" s="26">
        <v>45479</v>
      </c>
      <c r="B98" t="s">
        <v>148</v>
      </c>
    </row>
    <row r="99" spans="1:2" x14ac:dyDescent="0.15">
      <c r="A99" s="26">
        <v>45479</v>
      </c>
      <c r="B99" t="s">
        <v>149</v>
      </c>
    </row>
    <row r="100" spans="1:2" x14ac:dyDescent="0.15">
      <c r="A100" s="26">
        <v>45479</v>
      </c>
      <c r="B100" t="s">
        <v>150</v>
      </c>
    </row>
    <row r="101" spans="1:2" x14ac:dyDescent="0.15">
      <c r="A101" s="26">
        <v>45491</v>
      </c>
      <c r="B101" t="s">
        <v>151</v>
      </c>
    </row>
    <row r="102" spans="1:2" x14ac:dyDescent="0.15">
      <c r="A102" s="26">
        <v>45491</v>
      </c>
      <c r="B102" t="s">
        <v>152</v>
      </c>
    </row>
    <row r="103" spans="1:2" x14ac:dyDescent="0.15">
      <c r="A103" s="26">
        <v>45491</v>
      </c>
      <c r="B103" t="s">
        <v>153</v>
      </c>
    </row>
    <row r="104" spans="1:2" x14ac:dyDescent="0.15">
      <c r="A104" s="26">
        <v>45491</v>
      </c>
      <c r="B104" t="s">
        <v>154</v>
      </c>
    </row>
    <row r="105" spans="1:2" x14ac:dyDescent="0.15">
      <c r="A105" s="26">
        <v>45497</v>
      </c>
      <c r="B105" t="s">
        <v>155</v>
      </c>
    </row>
    <row r="106" spans="1:2" x14ac:dyDescent="0.15">
      <c r="A106" s="26">
        <v>45530</v>
      </c>
      <c r="B106" t="s">
        <v>251</v>
      </c>
    </row>
    <row r="107" spans="1:2" x14ac:dyDescent="0.15">
      <c r="A107" s="26">
        <v>45530</v>
      </c>
      <c r="B107" t="s">
        <v>252</v>
      </c>
    </row>
    <row r="108" spans="1:2" x14ac:dyDescent="0.15">
      <c r="A108" s="26">
        <v>45530</v>
      </c>
      <c r="B108" t="s">
        <v>253</v>
      </c>
    </row>
    <row r="109" spans="1:2" x14ac:dyDescent="0.15">
      <c r="A109" s="26">
        <v>45536</v>
      </c>
      <c r="B109" t="s">
        <v>254</v>
      </c>
    </row>
    <row r="110" spans="1:2" x14ac:dyDescent="0.15">
      <c r="A110" s="26">
        <v>45536</v>
      </c>
      <c r="B110" t="s">
        <v>255</v>
      </c>
    </row>
    <row r="111" spans="1:2" x14ac:dyDescent="0.15">
      <c r="A111" s="26">
        <v>45549</v>
      </c>
      <c r="B111" t="s">
        <v>256</v>
      </c>
    </row>
  </sheetData>
  <phoneticPr fontId="7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W23"/>
  <sheetViews>
    <sheetView workbookViewId="0">
      <selection activeCell="F25" sqref="F25"/>
    </sheetView>
  </sheetViews>
  <sheetFormatPr baseColWidth="10" defaultColWidth="12.5" defaultRowHeight="15.75" customHeight="1" x14ac:dyDescent="0.15"/>
  <cols>
    <col min="2" max="2" width="18.6640625" customWidth="1"/>
  </cols>
  <sheetData>
    <row r="1" spans="1:23" ht="15.75" customHeight="1" x14ac:dyDescent="0.15">
      <c r="A1" s="1" t="s">
        <v>0</v>
      </c>
      <c r="B1" s="1" t="s">
        <v>257</v>
      </c>
      <c r="C1" s="1" t="s">
        <v>2</v>
      </c>
      <c r="D1" s="1" t="s">
        <v>3</v>
      </c>
      <c r="E1" s="1" t="s">
        <v>4</v>
      </c>
      <c r="F1" s="1" t="s">
        <v>156</v>
      </c>
      <c r="G1" s="1" t="s">
        <v>275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276</v>
      </c>
      <c r="P1" s="1" t="s">
        <v>221</v>
      </c>
      <c r="Q1" s="1" t="s">
        <v>167</v>
      </c>
      <c r="R1" s="1" t="s">
        <v>168</v>
      </c>
      <c r="S1" s="12" t="s">
        <v>169</v>
      </c>
      <c r="T1" s="1"/>
      <c r="U1" s="1" t="s">
        <v>171</v>
      </c>
      <c r="V1" s="1" t="s">
        <v>172</v>
      </c>
      <c r="W1" s="1" t="s">
        <v>173</v>
      </c>
    </row>
    <row r="2" spans="1:23" ht="15.75" customHeight="1" x14ac:dyDescent="0.15">
      <c r="A2" s="2">
        <v>45193</v>
      </c>
      <c r="B2" s="1" t="s">
        <v>277</v>
      </c>
      <c r="C2" s="1" t="str">
        <f t="shared" ref="C2:C7" si="0">LEFT(E2, 8)</f>
        <v>37.19765</v>
      </c>
      <c r="D2" s="1" t="str">
        <f t="shared" ref="D2:D7" si="1">MID(E2, 13, 8)</f>
        <v>80.56376</v>
      </c>
      <c r="E2" s="1" t="s">
        <v>278</v>
      </c>
      <c r="F2" s="13">
        <v>0.1673611111111111</v>
      </c>
      <c r="G2" s="1" t="s">
        <v>279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" t="s">
        <v>280</v>
      </c>
      <c r="S2" s="1" t="s">
        <v>281</v>
      </c>
      <c r="T2" s="14">
        <f>AVERAGE(1910, 1860)</f>
        <v>1885</v>
      </c>
      <c r="U2" s="1"/>
      <c r="V2" s="1">
        <v>19</v>
      </c>
      <c r="W2" s="1">
        <v>48</v>
      </c>
    </row>
    <row r="3" spans="1:23" ht="15.75" customHeight="1" x14ac:dyDescent="0.15">
      <c r="A3" s="2">
        <v>45193</v>
      </c>
      <c r="B3" s="1" t="s">
        <v>282</v>
      </c>
      <c r="C3" s="1" t="str">
        <f t="shared" si="0"/>
        <v>37.19810</v>
      </c>
      <c r="D3" s="1" t="str">
        <f t="shared" si="1"/>
        <v>80.56451</v>
      </c>
      <c r="E3" s="1" t="s">
        <v>283</v>
      </c>
      <c r="F3" s="13">
        <v>0.17083333333333334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" t="s">
        <v>280</v>
      </c>
      <c r="S3" s="1" t="s">
        <v>284</v>
      </c>
      <c r="T3" s="14"/>
      <c r="U3" s="1"/>
      <c r="V3" s="1">
        <v>21</v>
      </c>
      <c r="W3" s="1">
        <v>35</v>
      </c>
    </row>
    <row r="4" spans="1:23" ht="15.75" customHeight="1" x14ac:dyDescent="0.15">
      <c r="A4" s="2">
        <v>45193</v>
      </c>
      <c r="B4" s="1" t="s">
        <v>285</v>
      </c>
      <c r="C4" s="1" t="str">
        <f t="shared" si="0"/>
        <v>37.19823</v>
      </c>
      <c r="D4" s="1" t="str">
        <f t="shared" si="1"/>
        <v>80.56498</v>
      </c>
      <c r="E4" s="1" t="s">
        <v>286</v>
      </c>
      <c r="F4" s="13">
        <v>0.1736111111111111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" t="s">
        <v>280</v>
      </c>
      <c r="T4" s="14"/>
      <c r="U4" s="1"/>
      <c r="V4" s="1">
        <v>10</v>
      </c>
      <c r="W4" s="1">
        <v>32</v>
      </c>
    </row>
    <row r="5" spans="1:23" ht="15.75" customHeight="1" x14ac:dyDescent="0.15">
      <c r="A5" s="2">
        <v>45207</v>
      </c>
      <c r="B5" s="1" t="s">
        <v>287</v>
      </c>
      <c r="C5" s="1" t="str">
        <f t="shared" si="0"/>
        <v>37.19753</v>
      </c>
      <c r="D5" s="1" t="str">
        <f t="shared" si="1"/>
        <v>80.56375</v>
      </c>
      <c r="E5" s="1" t="s">
        <v>288</v>
      </c>
      <c r="F5" s="13">
        <v>0.46597222222222223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" t="s">
        <v>289</v>
      </c>
      <c r="S5" s="1" t="s">
        <v>290</v>
      </c>
      <c r="T5" s="14">
        <f>AVERAGE(1350, 1330, 1280)</f>
        <v>1320</v>
      </c>
      <c r="U5" s="15">
        <v>45218</v>
      </c>
      <c r="V5" s="1">
        <v>28</v>
      </c>
      <c r="W5" s="1">
        <v>54</v>
      </c>
    </row>
    <row r="6" spans="1:23" ht="15.75" customHeight="1" x14ac:dyDescent="0.15">
      <c r="A6" s="2">
        <v>45207</v>
      </c>
      <c r="B6" s="1" t="s">
        <v>291</v>
      </c>
      <c r="C6" s="1" t="str">
        <f t="shared" si="0"/>
        <v>37.19790</v>
      </c>
      <c r="D6" s="1" t="str">
        <f t="shared" si="1"/>
        <v>80.56466</v>
      </c>
      <c r="E6" s="1" t="s">
        <v>292</v>
      </c>
      <c r="F6" s="13">
        <v>0.47291666666666665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" t="s">
        <v>289</v>
      </c>
      <c r="S6" s="1" t="s">
        <v>293</v>
      </c>
      <c r="T6" s="14"/>
      <c r="U6" s="15">
        <v>45223</v>
      </c>
      <c r="V6" s="1">
        <v>15</v>
      </c>
      <c r="W6" s="5">
        <v>10</v>
      </c>
    </row>
    <row r="7" spans="1:23" ht="15.75" customHeight="1" x14ac:dyDescent="0.15">
      <c r="A7" s="2">
        <v>45207</v>
      </c>
      <c r="B7" s="1" t="s">
        <v>294</v>
      </c>
      <c r="C7" s="1" t="str">
        <f t="shared" si="0"/>
        <v>37.19819</v>
      </c>
      <c r="D7" s="1" t="str">
        <f t="shared" si="1"/>
        <v>80.56494</v>
      </c>
      <c r="E7" s="1" t="s">
        <v>295</v>
      </c>
      <c r="F7" s="13">
        <v>0.47499999999999998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" t="s">
        <v>289</v>
      </c>
      <c r="S7" s="1" t="s">
        <v>296</v>
      </c>
      <c r="T7" s="14"/>
      <c r="V7" s="1">
        <v>33</v>
      </c>
    </row>
    <row r="8" spans="1:23" ht="15.75" customHeight="1" x14ac:dyDescent="0.15">
      <c r="A8" s="2">
        <v>45207</v>
      </c>
      <c r="B8" s="1" t="s">
        <v>297</v>
      </c>
      <c r="C8" s="1" t="s">
        <v>298</v>
      </c>
      <c r="D8" s="1" t="s">
        <v>298</v>
      </c>
      <c r="E8" s="1" t="s">
        <v>298</v>
      </c>
      <c r="F8" s="13">
        <v>0.23472222222222222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" t="s">
        <v>289</v>
      </c>
      <c r="S8" s="1" t="s">
        <v>299</v>
      </c>
      <c r="T8" s="14">
        <f>AVERAGE(1220, 1220, 1240)</f>
        <v>1226.6666666666667</v>
      </c>
      <c r="U8" s="15">
        <v>45215</v>
      </c>
      <c r="V8" s="1">
        <v>27</v>
      </c>
      <c r="W8" s="1">
        <v>40</v>
      </c>
    </row>
    <row r="9" spans="1:23" ht="15.75" customHeight="1" x14ac:dyDescent="0.15">
      <c r="A9" s="2">
        <v>45207</v>
      </c>
      <c r="B9" s="1" t="s">
        <v>300</v>
      </c>
      <c r="C9" s="1" t="s">
        <v>298</v>
      </c>
      <c r="D9" s="1" t="s">
        <v>298</v>
      </c>
      <c r="E9" s="1" t="s">
        <v>298</v>
      </c>
      <c r="F9" s="13">
        <v>0.23749999999999999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" t="s">
        <v>289</v>
      </c>
      <c r="S9" s="1" t="s">
        <v>301</v>
      </c>
      <c r="T9" s="14"/>
      <c r="U9" s="15">
        <v>45215</v>
      </c>
      <c r="V9" s="1">
        <v>10</v>
      </c>
      <c r="W9" s="1">
        <v>10</v>
      </c>
    </row>
    <row r="10" spans="1:23" ht="15.75" customHeight="1" x14ac:dyDescent="0.15">
      <c r="A10" s="2">
        <v>45207</v>
      </c>
      <c r="B10" s="1" t="s">
        <v>302</v>
      </c>
      <c r="C10" s="1" t="s">
        <v>303</v>
      </c>
      <c r="D10" s="1" t="s">
        <v>303</v>
      </c>
      <c r="E10" s="1" t="s">
        <v>303</v>
      </c>
      <c r="F10" s="13">
        <v>0.23958333333333334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" t="s">
        <v>289</v>
      </c>
      <c r="S10" s="1" t="s">
        <v>304</v>
      </c>
      <c r="T10" s="14"/>
      <c r="U10" s="15">
        <v>45215</v>
      </c>
      <c r="V10" s="1">
        <v>23</v>
      </c>
    </row>
    <row r="14" spans="1:23" ht="15.75" customHeight="1" x14ac:dyDescent="0.15">
      <c r="E14" s="2"/>
      <c r="F14" s="13"/>
      <c r="G14" s="25" t="s">
        <v>305</v>
      </c>
      <c r="H14" s="25" t="s">
        <v>306</v>
      </c>
    </row>
    <row r="15" spans="1:23" ht="15.75" customHeight="1" x14ac:dyDescent="0.15">
      <c r="E15" s="2">
        <v>45193</v>
      </c>
      <c r="F15" s="13">
        <v>0.1673611111111111</v>
      </c>
      <c r="H15">
        <v>1.56</v>
      </c>
    </row>
    <row r="16" spans="1:23" ht="15.75" customHeight="1" x14ac:dyDescent="0.15">
      <c r="E16" s="2">
        <v>45193</v>
      </c>
      <c r="F16" s="13">
        <v>0.17083333333333334</v>
      </c>
      <c r="H16">
        <v>1.56</v>
      </c>
    </row>
    <row r="17" spans="5:8" ht="15.75" customHeight="1" x14ac:dyDescent="0.15">
      <c r="E17" s="2">
        <v>45193</v>
      </c>
      <c r="F17" s="13">
        <v>0.1736111111111111</v>
      </c>
      <c r="H17">
        <v>1.56</v>
      </c>
    </row>
    <row r="18" spans="5:8" ht="15.75" customHeight="1" x14ac:dyDescent="0.15">
      <c r="E18" s="2">
        <v>45207</v>
      </c>
      <c r="F18" s="13">
        <v>0.46597222222222223</v>
      </c>
      <c r="H18">
        <v>1.36</v>
      </c>
    </row>
    <row r="19" spans="5:8" ht="15.75" customHeight="1" x14ac:dyDescent="0.15">
      <c r="E19" s="2">
        <v>45207</v>
      </c>
      <c r="F19" s="13">
        <v>0.47291666666666665</v>
      </c>
      <c r="H19">
        <v>1.36</v>
      </c>
    </row>
    <row r="20" spans="5:8" ht="15.75" customHeight="1" x14ac:dyDescent="0.15">
      <c r="E20" s="2">
        <v>45207</v>
      </c>
      <c r="F20" s="13">
        <v>0.47499999999999998</v>
      </c>
      <c r="H20">
        <v>1.36</v>
      </c>
    </row>
    <row r="21" spans="5:8" ht="15.75" customHeight="1" x14ac:dyDescent="0.15">
      <c r="E21" s="2">
        <v>45207</v>
      </c>
      <c r="F21" s="13">
        <v>0.23472222222222222</v>
      </c>
      <c r="H21">
        <v>1.34</v>
      </c>
    </row>
    <row r="22" spans="5:8" ht="15.75" customHeight="1" x14ac:dyDescent="0.15">
      <c r="E22" s="2">
        <v>45207</v>
      </c>
      <c r="F22" s="13">
        <v>0.23749999999999999</v>
      </c>
      <c r="H22">
        <v>1.34</v>
      </c>
    </row>
    <row r="23" spans="5:8" ht="15.75" customHeight="1" x14ac:dyDescent="0.15">
      <c r="E23" s="2">
        <v>45207</v>
      </c>
      <c r="F23" s="13">
        <v>0.23958333333333334</v>
      </c>
      <c r="H23">
        <v>1.34</v>
      </c>
    </row>
  </sheetData>
  <hyperlinks>
    <hyperlink ref="S1" r:id="rId1" location="parameterCode=00065&amp;period=P7D&amp;showMedian=true" xr:uid="{00000000-0004-0000-0400-000000000000}"/>
  </hyperlinks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6CC53-77EB-482F-8F84-60A6F04098D4}">
  <dimension ref="A1:H16"/>
  <sheetViews>
    <sheetView workbookViewId="0">
      <selection activeCell="O18" sqref="O18"/>
    </sheetView>
  </sheetViews>
  <sheetFormatPr baseColWidth="10" defaultColWidth="8.83203125" defaultRowHeight="13" x14ac:dyDescent="0.15"/>
  <sheetData>
    <row r="1" spans="1:8" x14ac:dyDescent="0.15">
      <c r="B1" t="s">
        <v>1</v>
      </c>
      <c r="C1" t="s">
        <v>307</v>
      </c>
      <c r="D1" t="s">
        <v>308</v>
      </c>
      <c r="E1" t="s">
        <v>309</v>
      </c>
      <c r="F1" t="s">
        <v>310</v>
      </c>
      <c r="G1" t="s">
        <v>311</v>
      </c>
    </row>
    <row r="2" spans="1:8" x14ac:dyDescent="0.15">
      <c r="A2" t="s">
        <v>312</v>
      </c>
      <c r="B2" t="s">
        <v>313</v>
      </c>
      <c r="C2">
        <v>1</v>
      </c>
      <c r="D2">
        <v>50</v>
      </c>
      <c r="E2" t="s">
        <v>314</v>
      </c>
      <c r="F2" t="s">
        <v>315</v>
      </c>
      <c r="G2">
        <v>0.47</v>
      </c>
    </row>
    <row r="3" spans="1:8" x14ac:dyDescent="0.15">
      <c r="A3" t="s">
        <v>312</v>
      </c>
      <c r="B3" t="s">
        <v>313</v>
      </c>
      <c r="C3">
        <v>2</v>
      </c>
      <c r="D3">
        <v>25</v>
      </c>
      <c r="E3" s="1" t="s">
        <v>316</v>
      </c>
      <c r="F3" t="s">
        <v>315</v>
      </c>
      <c r="G3">
        <v>0.45</v>
      </c>
    </row>
    <row r="4" spans="1:8" x14ac:dyDescent="0.15">
      <c r="A4" t="s">
        <v>312</v>
      </c>
      <c r="B4" t="s">
        <v>313</v>
      </c>
      <c r="C4">
        <v>3</v>
      </c>
      <c r="D4">
        <v>50</v>
      </c>
      <c r="E4" s="1" t="s">
        <v>317</v>
      </c>
      <c r="F4" t="s">
        <v>318</v>
      </c>
      <c r="G4">
        <v>0.64</v>
      </c>
    </row>
    <row r="5" spans="1:8" x14ac:dyDescent="0.15">
      <c r="A5" t="s">
        <v>312</v>
      </c>
      <c r="B5" t="s">
        <v>313</v>
      </c>
      <c r="C5">
        <v>3</v>
      </c>
      <c r="D5">
        <v>100</v>
      </c>
      <c r="E5" s="1" t="s">
        <v>319</v>
      </c>
      <c r="F5" t="s">
        <v>320</v>
      </c>
      <c r="G5">
        <v>0.68</v>
      </c>
    </row>
    <row r="6" spans="1:8" x14ac:dyDescent="0.15">
      <c r="A6" t="s">
        <v>312</v>
      </c>
      <c r="B6" t="s">
        <v>321</v>
      </c>
      <c r="C6">
        <v>1</v>
      </c>
      <c r="D6">
        <v>10</v>
      </c>
      <c r="F6" t="s">
        <v>320</v>
      </c>
    </row>
    <row r="7" spans="1:8" x14ac:dyDescent="0.15">
      <c r="A7" t="s">
        <v>312</v>
      </c>
      <c r="B7" t="s">
        <v>321</v>
      </c>
      <c r="C7">
        <v>2</v>
      </c>
      <c r="D7">
        <v>1</v>
      </c>
      <c r="F7" t="s">
        <v>322</v>
      </c>
      <c r="H7" t="s">
        <v>323</v>
      </c>
    </row>
    <row r="8" spans="1:8" x14ac:dyDescent="0.15">
      <c r="A8" t="s">
        <v>312</v>
      </c>
      <c r="B8" t="s">
        <v>321</v>
      </c>
      <c r="C8">
        <v>2</v>
      </c>
      <c r="D8">
        <v>10</v>
      </c>
      <c r="F8" t="s">
        <v>320</v>
      </c>
      <c r="H8" t="s">
        <v>323</v>
      </c>
    </row>
    <row r="9" spans="1:8" x14ac:dyDescent="0.15">
      <c r="A9" t="s">
        <v>312</v>
      </c>
      <c r="B9" t="s">
        <v>321</v>
      </c>
      <c r="C9">
        <v>3</v>
      </c>
      <c r="D9">
        <v>50</v>
      </c>
      <c r="F9" t="s">
        <v>320</v>
      </c>
    </row>
    <row r="11" spans="1:8" x14ac:dyDescent="0.15">
      <c r="B11" t="s">
        <v>324</v>
      </c>
      <c r="C11">
        <v>1</v>
      </c>
      <c r="F11" t="s">
        <v>320</v>
      </c>
    </row>
    <row r="12" spans="1:8" x14ac:dyDescent="0.15">
      <c r="B12" t="s">
        <v>324</v>
      </c>
      <c r="C12">
        <v>1</v>
      </c>
      <c r="E12" t="s">
        <v>325</v>
      </c>
      <c r="F12" t="s">
        <v>320</v>
      </c>
    </row>
    <row r="13" spans="1:8" x14ac:dyDescent="0.15">
      <c r="B13" t="s">
        <v>324</v>
      </c>
      <c r="C13">
        <v>10</v>
      </c>
      <c r="E13" t="s">
        <v>326</v>
      </c>
      <c r="F13" t="s">
        <v>320</v>
      </c>
    </row>
    <row r="14" spans="1:8" x14ac:dyDescent="0.15">
      <c r="B14" t="s">
        <v>324</v>
      </c>
      <c r="C14">
        <v>25</v>
      </c>
      <c r="E14" t="s">
        <v>327</v>
      </c>
      <c r="F14" t="s">
        <v>320</v>
      </c>
    </row>
    <row r="15" spans="1:8" x14ac:dyDescent="0.15">
      <c r="B15" t="s">
        <v>324</v>
      </c>
      <c r="C15">
        <v>3</v>
      </c>
      <c r="D15">
        <v>1</v>
      </c>
      <c r="E15" t="s">
        <v>328</v>
      </c>
    </row>
    <row r="16" spans="1:8" x14ac:dyDescent="0.15">
      <c r="C16">
        <v>3</v>
      </c>
      <c r="D16">
        <v>10</v>
      </c>
      <c r="E16" t="s">
        <v>329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980A3-E334-42E1-9224-8F2A8ED401B7}">
  <dimension ref="A1:E14"/>
  <sheetViews>
    <sheetView workbookViewId="0">
      <selection activeCell="J19" sqref="J19"/>
    </sheetView>
  </sheetViews>
  <sheetFormatPr baseColWidth="10" defaultColWidth="8.83203125" defaultRowHeight="13" x14ac:dyDescent="0.15"/>
  <cols>
    <col min="1" max="1" width="9.5" bestFit="1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s="26">
        <v>45367</v>
      </c>
      <c r="B2" t="s">
        <v>93</v>
      </c>
      <c r="C2">
        <v>37.197519999999997</v>
      </c>
      <c r="D2">
        <v>-80.563910000000007</v>
      </c>
      <c r="E2" t="s">
        <v>94</v>
      </c>
    </row>
    <row r="3" spans="1:5" x14ac:dyDescent="0.15">
      <c r="A3" s="26">
        <v>45367</v>
      </c>
      <c r="B3" t="s">
        <v>95</v>
      </c>
      <c r="C3">
        <v>37.197749999999999</v>
      </c>
      <c r="D3">
        <v>-80.564689999999999</v>
      </c>
      <c r="E3" t="s">
        <v>96</v>
      </c>
    </row>
    <row r="4" spans="1:5" x14ac:dyDescent="0.15">
      <c r="A4" s="26">
        <v>45367</v>
      </c>
      <c r="B4" t="s">
        <v>97</v>
      </c>
      <c r="C4">
        <v>37.198349999999998</v>
      </c>
      <c r="D4">
        <v>-80.565060000000003</v>
      </c>
      <c r="E4" t="s">
        <v>98</v>
      </c>
    </row>
    <row r="5" spans="1:5" x14ac:dyDescent="0.15">
      <c r="A5" s="26">
        <v>45375</v>
      </c>
      <c r="B5" t="s">
        <v>99</v>
      </c>
      <c r="C5">
        <v>37.144190000000002</v>
      </c>
      <c r="D5">
        <v>-80.563079999999999</v>
      </c>
      <c r="E5" t="s">
        <v>100</v>
      </c>
    </row>
    <row r="6" spans="1:5" x14ac:dyDescent="0.15">
      <c r="A6" s="26">
        <v>45375</v>
      </c>
      <c r="B6" t="s">
        <v>101</v>
      </c>
      <c r="C6">
        <v>37.144260000000003</v>
      </c>
      <c r="D6">
        <v>-80.562299999999993</v>
      </c>
      <c r="E6" t="s">
        <v>102</v>
      </c>
    </row>
    <row r="7" spans="1:5" x14ac:dyDescent="0.15">
      <c r="A7" s="26">
        <v>45375</v>
      </c>
      <c r="B7" t="s">
        <v>103</v>
      </c>
      <c r="C7">
        <v>37.143659999999997</v>
      </c>
      <c r="D7">
        <v>-80.562219999999996</v>
      </c>
      <c r="E7" t="s">
        <v>104</v>
      </c>
    </row>
    <row r="9" spans="1:5" x14ac:dyDescent="0.15">
      <c r="A9" s="26">
        <v>45431</v>
      </c>
    </row>
    <row r="10" spans="1:5" x14ac:dyDescent="0.15">
      <c r="A10" s="26">
        <v>45431</v>
      </c>
    </row>
    <row r="11" spans="1:5" x14ac:dyDescent="0.15">
      <c r="A11" s="26">
        <v>45431</v>
      </c>
      <c r="B11" s="18">
        <v>0.49444444444444446</v>
      </c>
      <c r="C11" t="s">
        <v>330</v>
      </c>
    </row>
    <row r="12" spans="1:5" x14ac:dyDescent="0.15">
      <c r="C12" s="18" t="s">
        <v>331</v>
      </c>
    </row>
    <row r="13" spans="1:5" x14ac:dyDescent="0.15">
      <c r="C13" t="s">
        <v>332</v>
      </c>
    </row>
    <row r="14" spans="1:5" x14ac:dyDescent="0.15">
      <c r="C14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Locations</vt:lpstr>
      <vt:lpstr>SW</vt:lpstr>
      <vt:lpstr>DW</vt:lpstr>
      <vt:lpstr>comparison</vt:lpstr>
      <vt:lpstr>MP comp</vt:lpstr>
      <vt:lpstr>Before YSI</vt:lpstr>
      <vt:lpstr>Raman readings</vt:lpstr>
      <vt:lpstr>SR4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Rodriguez Sequeira, Luisana</cp:lastModifiedBy>
  <cp:revision/>
  <dcterms:created xsi:type="dcterms:W3CDTF">2024-02-28T16:37:38Z</dcterms:created>
  <dcterms:modified xsi:type="dcterms:W3CDTF">2025-02-05T20:02:19Z</dcterms:modified>
  <cp:category/>
  <cp:contentStatus/>
</cp:coreProperties>
</file>