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lrs_vt_edu/Documents/Research/Data/"/>
    </mc:Choice>
  </mc:AlternateContent>
  <xr:revisionPtr revIDLastSave="5946" documentId="8_{BDE87BB9-682F-E749-A21E-FB131B4AF483}" xr6:coauthVersionLast="47" xr6:coauthVersionMax="47" xr10:uidLastSave="{B0DE016F-8610-4D78-9CFB-D39704505F69}"/>
  <bookViews>
    <workbookView xWindow="7840" yWindow="740" windowWidth="15080" windowHeight="18380" firstSheet="8" activeTab="8" xr2:uid="{00000000-000D-0000-FFFF-FFFF00000000}"/>
  </bookViews>
  <sheets>
    <sheet name="Blanks" sheetId="5" r:id="rId1"/>
    <sheet name="KNR" sheetId="2" r:id="rId2"/>
    <sheet name="RNR" sheetId="1" r:id="rId3"/>
    <sheet name="IC" sheetId="3" r:id="rId4"/>
    <sheet name="comp" sheetId="4" r:id="rId5"/>
    <sheet name="Sheet1" sheetId="10" r:id="rId6"/>
    <sheet name="Reading from raman" sheetId="6" r:id="rId7"/>
    <sheet name="RamanF" sheetId="9" r:id="rId8"/>
    <sheet name="RamanF (2)" sheetId="12" r:id="rId9"/>
    <sheet name="ByColor&amp;Shape" sheetId="7" r:id="rId10"/>
    <sheet name="Sheet2" sheetId="11" r:id="rId11"/>
    <sheet name="BCSforR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2" l="1"/>
  <c r="AD96" i="4"/>
  <c r="AD95" i="4"/>
  <c r="AD65" i="4"/>
  <c r="AD64" i="4"/>
  <c r="AG6" i="4"/>
  <c r="AG3" i="4"/>
  <c r="C6" i="11"/>
  <c r="C5" i="11"/>
  <c r="AR15" i="7"/>
  <c r="AR21" i="7"/>
  <c r="AR20" i="7"/>
  <c r="AT10" i="6"/>
  <c r="Z129" i="4"/>
  <c r="Z128" i="4"/>
  <c r="Z127" i="4"/>
  <c r="AR16" i="7"/>
  <c r="G77" i="10"/>
  <c r="BN50" i="6"/>
  <c r="BN49" i="6"/>
  <c r="BN94" i="6"/>
  <c r="BN77" i="6"/>
  <c r="A110" i="10"/>
  <c r="A109" i="10"/>
  <c r="A108" i="10"/>
  <c r="A107" i="10"/>
  <c r="A106" i="10"/>
  <c r="A76" i="10"/>
  <c r="A75" i="10"/>
  <c r="A74" i="10"/>
  <c r="A73" i="10"/>
  <c r="A72" i="10"/>
  <c r="D109" i="10"/>
  <c r="D110" i="10"/>
  <c r="D108" i="10"/>
  <c r="D107" i="10"/>
  <c r="D106" i="10"/>
  <c r="D76" i="10"/>
  <c r="D75" i="10"/>
  <c r="D74" i="10"/>
  <c r="D73" i="10"/>
  <c r="D72" i="10"/>
  <c r="AW8" i="7"/>
  <c r="AX8" i="7"/>
  <c r="AY8" i="7"/>
  <c r="AZ8" i="7"/>
  <c r="BD8" i="7" s="1"/>
  <c r="BA8" i="7"/>
  <c r="BB8" i="7"/>
  <c r="BC8" i="7"/>
  <c r="AW9" i="7"/>
  <c r="BD9" i="7" s="1"/>
  <c r="AX9" i="7"/>
  <c r="AY9" i="7"/>
  <c r="AZ9" i="7"/>
  <c r="BA9" i="7"/>
  <c r="BB9" i="7"/>
  <c r="BC9" i="7"/>
  <c r="AW10" i="7"/>
  <c r="BD10" i="7" s="1"/>
  <c r="AX10" i="7"/>
  <c r="AY10" i="7"/>
  <c r="AZ10" i="7"/>
  <c r="BA10" i="7"/>
  <c r="BB10" i="7"/>
  <c r="BC10" i="7"/>
  <c r="AV9" i="7"/>
  <c r="AV10" i="7"/>
  <c r="AV8" i="7"/>
  <c r="BD5" i="7"/>
  <c r="BD3" i="7"/>
  <c r="BD4" i="7"/>
  <c r="BD2" i="7"/>
  <c r="AW2" i="7"/>
  <c r="AX2" i="7"/>
  <c r="AY2" i="7"/>
  <c r="AZ2" i="7"/>
  <c r="BA2" i="7"/>
  <c r="BB2" i="7"/>
  <c r="BC2" i="7"/>
  <c r="AW3" i="7"/>
  <c r="AX3" i="7"/>
  <c r="AY3" i="7"/>
  <c r="AZ3" i="7"/>
  <c r="BA3" i="7"/>
  <c r="BB3" i="7"/>
  <c r="BC3" i="7"/>
  <c r="AW4" i="7"/>
  <c r="AX4" i="7"/>
  <c r="AY4" i="7"/>
  <c r="AZ4" i="7"/>
  <c r="BA4" i="7"/>
  <c r="BB4" i="7"/>
  <c r="BC4" i="7"/>
  <c r="AV3" i="7"/>
  <c r="AV4" i="7"/>
  <c r="AV2" i="7"/>
  <c r="N203" i="6"/>
  <c r="N199" i="6"/>
  <c r="N200" i="6"/>
  <c r="N66" i="6"/>
  <c r="F199" i="6"/>
  <c r="N197" i="6"/>
  <c r="N198" i="6"/>
  <c r="F198" i="6"/>
  <c r="G198" i="6"/>
  <c r="H198" i="6"/>
  <c r="I198" i="6"/>
  <c r="J198" i="6"/>
  <c r="K198" i="6"/>
  <c r="L198" i="6"/>
  <c r="M198" i="6"/>
  <c r="G199" i="6"/>
  <c r="H199" i="6"/>
  <c r="I199" i="6"/>
  <c r="J199" i="6"/>
  <c r="K199" i="6"/>
  <c r="L199" i="6"/>
  <c r="M199" i="6"/>
  <c r="G197" i="6"/>
  <c r="H197" i="6"/>
  <c r="I197" i="6"/>
  <c r="J197" i="6"/>
  <c r="K197" i="6"/>
  <c r="L197" i="6"/>
  <c r="M197" i="6"/>
  <c r="F197" i="6"/>
  <c r="AX49" i="6"/>
  <c r="AY49" i="6"/>
  <c r="AZ49" i="6"/>
  <c r="BA49" i="6"/>
  <c r="BB49" i="6"/>
  <c r="BC49" i="6"/>
  <c r="BD49" i="6"/>
  <c r="BM49" i="6" s="1"/>
  <c r="BE49" i="6"/>
  <c r="BF49" i="6"/>
  <c r="BG49" i="6"/>
  <c r="BH49" i="6"/>
  <c r="BI49" i="6"/>
  <c r="BJ49" i="6"/>
  <c r="BK49" i="6"/>
  <c r="BL49" i="6"/>
  <c r="AW49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28" i="6"/>
  <c r="BN98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I102" i="6"/>
  <c r="BJ102" i="6"/>
  <c r="BI103" i="6"/>
  <c r="BJ103" i="6"/>
  <c r="BI104" i="6"/>
  <c r="BJ104" i="6"/>
  <c r="BI105" i="6"/>
  <c r="BJ105" i="6"/>
  <c r="BI106" i="6"/>
  <c r="BJ106" i="6"/>
  <c r="BI107" i="6"/>
  <c r="BJ107" i="6"/>
  <c r="BI108" i="6"/>
  <c r="BJ108" i="6"/>
  <c r="BI109" i="6"/>
  <c r="BJ109" i="6"/>
  <c r="BI110" i="6"/>
  <c r="BJ110" i="6"/>
  <c r="BI111" i="6"/>
  <c r="BJ111" i="6"/>
  <c r="BI112" i="6"/>
  <c r="BJ112" i="6"/>
  <c r="BI113" i="6"/>
  <c r="BJ113" i="6"/>
  <c r="BI114" i="6"/>
  <c r="BJ114" i="6"/>
  <c r="BI115" i="6"/>
  <c r="BJ115" i="6"/>
  <c r="BI116" i="6"/>
  <c r="BJ116" i="6"/>
  <c r="BI117" i="6"/>
  <c r="BJ117" i="6"/>
  <c r="BI118" i="6"/>
  <c r="BJ118" i="6"/>
  <c r="BI119" i="6"/>
  <c r="BJ119" i="6"/>
  <c r="BI120" i="6"/>
  <c r="BJ120" i="6"/>
  <c r="BI121" i="6"/>
  <c r="BJ121" i="6"/>
  <c r="BI122" i="6"/>
  <c r="BJ122" i="6"/>
  <c r="BJ101" i="6"/>
  <c r="BI101" i="6"/>
  <c r="AX102" i="6"/>
  <c r="AZ102" i="6"/>
  <c r="BA102" i="6"/>
  <c r="BB102" i="6"/>
  <c r="BD102" i="6"/>
  <c r="BG102" i="6"/>
  <c r="AX103" i="6"/>
  <c r="AZ103" i="6"/>
  <c r="BA103" i="6"/>
  <c r="BB103" i="6"/>
  <c r="BD103" i="6"/>
  <c r="BG103" i="6"/>
  <c r="AX104" i="6"/>
  <c r="AZ104" i="6"/>
  <c r="BA104" i="6"/>
  <c r="BB104" i="6"/>
  <c r="BD104" i="6"/>
  <c r="BG104" i="6"/>
  <c r="AX105" i="6"/>
  <c r="AZ105" i="6"/>
  <c r="BA105" i="6"/>
  <c r="BB105" i="6"/>
  <c r="BD105" i="6"/>
  <c r="BG105" i="6"/>
  <c r="AX106" i="6"/>
  <c r="AZ106" i="6"/>
  <c r="BA106" i="6"/>
  <c r="BB106" i="6"/>
  <c r="BD106" i="6"/>
  <c r="BG106" i="6"/>
  <c r="AX107" i="6"/>
  <c r="AZ107" i="6"/>
  <c r="BA107" i="6"/>
  <c r="BB107" i="6"/>
  <c r="BD107" i="6"/>
  <c r="BG107" i="6"/>
  <c r="AX108" i="6"/>
  <c r="AZ108" i="6"/>
  <c r="BA108" i="6"/>
  <c r="BB108" i="6"/>
  <c r="BD108" i="6"/>
  <c r="BG108" i="6"/>
  <c r="AX109" i="6"/>
  <c r="AZ109" i="6"/>
  <c r="BA109" i="6"/>
  <c r="BB109" i="6"/>
  <c r="BD109" i="6"/>
  <c r="BG109" i="6"/>
  <c r="AX110" i="6"/>
  <c r="AZ110" i="6"/>
  <c r="BA110" i="6"/>
  <c r="BB110" i="6"/>
  <c r="BD110" i="6"/>
  <c r="BG110" i="6"/>
  <c r="AX111" i="6"/>
  <c r="AZ111" i="6"/>
  <c r="BA111" i="6"/>
  <c r="BB111" i="6"/>
  <c r="BD111" i="6"/>
  <c r="BG111" i="6"/>
  <c r="AX112" i="6"/>
  <c r="AZ112" i="6"/>
  <c r="BA112" i="6"/>
  <c r="BB112" i="6"/>
  <c r="BD112" i="6"/>
  <c r="BG112" i="6"/>
  <c r="AX113" i="6"/>
  <c r="AZ113" i="6"/>
  <c r="BA113" i="6"/>
  <c r="BB113" i="6"/>
  <c r="BD113" i="6"/>
  <c r="BG113" i="6"/>
  <c r="AX114" i="6"/>
  <c r="AZ114" i="6"/>
  <c r="BA114" i="6"/>
  <c r="BB114" i="6"/>
  <c r="BD114" i="6"/>
  <c r="BG114" i="6"/>
  <c r="AX115" i="6"/>
  <c r="AZ115" i="6"/>
  <c r="BA115" i="6"/>
  <c r="BB115" i="6"/>
  <c r="BD115" i="6"/>
  <c r="BG115" i="6"/>
  <c r="AX116" i="6"/>
  <c r="AZ116" i="6"/>
  <c r="BA116" i="6"/>
  <c r="BB116" i="6"/>
  <c r="BD116" i="6"/>
  <c r="BG116" i="6"/>
  <c r="AX117" i="6"/>
  <c r="AZ117" i="6"/>
  <c r="BA117" i="6"/>
  <c r="BB117" i="6"/>
  <c r="BD117" i="6"/>
  <c r="BG117" i="6"/>
  <c r="AX118" i="6"/>
  <c r="AZ118" i="6"/>
  <c r="BA118" i="6"/>
  <c r="BB118" i="6"/>
  <c r="BD118" i="6"/>
  <c r="BG118" i="6"/>
  <c r="AX119" i="6"/>
  <c r="AZ119" i="6"/>
  <c r="BA119" i="6"/>
  <c r="BB119" i="6"/>
  <c r="BD119" i="6"/>
  <c r="BG119" i="6"/>
  <c r="AX120" i="6"/>
  <c r="AZ120" i="6"/>
  <c r="BA120" i="6"/>
  <c r="BB120" i="6"/>
  <c r="BD120" i="6"/>
  <c r="BG120" i="6"/>
  <c r="AX121" i="6"/>
  <c r="AZ121" i="6"/>
  <c r="BA121" i="6"/>
  <c r="BB121" i="6"/>
  <c r="BD121" i="6"/>
  <c r="BG121" i="6"/>
  <c r="AX122" i="6"/>
  <c r="AZ122" i="6"/>
  <c r="BA122" i="6"/>
  <c r="BB122" i="6"/>
  <c r="BD122" i="6"/>
  <c r="BG122" i="6"/>
  <c r="AX101" i="6"/>
  <c r="AZ101" i="6"/>
  <c r="BA101" i="6"/>
  <c r="BB101" i="6"/>
  <c r="BD101" i="6"/>
  <c r="BG101" i="6"/>
  <c r="AW122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01" i="6"/>
  <c r="AW52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BL98" i="6"/>
  <c r="AW98" i="6"/>
  <c r="CK1" i="6"/>
  <c r="K40" i="9"/>
  <c r="C34" i="9"/>
  <c r="B34" i="9"/>
  <c r="AA42" i="5"/>
  <c r="Y42" i="5"/>
  <c r="X42" i="5"/>
  <c r="W42" i="5"/>
  <c r="G42" i="5"/>
  <c r="Z42" i="5" s="1"/>
  <c r="AA41" i="5"/>
  <c r="Y41" i="5"/>
  <c r="X41" i="5"/>
  <c r="W41" i="5"/>
  <c r="G41" i="5"/>
  <c r="Z41" i="5" s="1"/>
  <c r="AA40" i="5"/>
  <c r="Y40" i="5"/>
  <c r="X40" i="5"/>
  <c r="W40" i="5"/>
  <c r="L40" i="5"/>
  <c r="G40" i="5"/>
  <c r="Z40" i="5" s="1"/>
  <c r="G122" i="4"/>
  <c r="G123" i="4"/>
  <c r="G125" i="4"/>
  <c r="G120" i="4"/>
  <c r="G121" i="4"/>
  <c r="G124" i="4"/>
  <c r="Y119" i="4"/>
  <c r="Y120" i="4"/>
  <c r="Y121" i="4"/>
  <c r="Y122" i="4"/>
  <c r="Y123" i="4"/>
  <c r="Y124" i="4"/>
  <c r="Y125" i="4"/>
  <c r="X119" i="4"/>
  <c r="X120" i="4"/>
  <c r="X121" i="4"/>
  <c r="X122" i="4"/>
  <c r="X123" i="4"/>
  <c r="X124" i="4"/>
  <c r="X125" i="4"/>
  <c r="W125" i="4"/>
  <c r="W119" i="4"/>
  <c r="W120" i="4"/>
  <c r="W121" i="4"/>
  <c r="W122" i="4"/>
  <c r="W123" i="4"/>
  <c r="W124" i="4"/>
  <c r="Z120" i="4"/>
  <c r="Z121" i="4"/>
  <c r="Z122" i="4"/>
  <c r="Z123" i="4"/>
  <c r="Z124" i="4"/>
  <c r="Z125" i="4"/>
  <c r="AG4" i="4"/>
  <c r="AT74" i="6"/>
  <c r="AU1" i="6"/>
  <c r="M128" i="6"/>
  <c r="O134" i="6"/>
  <c r="O133" i="6"/>
  <c r="M129" i="6"/>
  <c r="M124" i="6"/>
  <c r="M123" i="6"/>
  <c r="M119" i="6"/>
  <c r="M118" i="6"/>
  <c r="AP133" i="6"/>
  <c r="AP132" i="6"/>
  <c r="AP131" i="6"/>
  <c r="R183" i="6"/>
  <c r="S183" i="6"/>
  <c r="T183" i="6"/>
  <c r="U183" i="6"/>
  <c r="V183" i="6"/>
  <c r="W183" i="6"/>
  <c r="X183" i="6"/>
  <c r="R184" i="6"/>
  <c r="S184" i="6"/>
  <c r="T184" i="6"/>
  <c r="U184" i="6"/>
  <c r="V184" i="6"/>
  <c r="W184" i="6"/>
  <c r="X184" i="6"/>
  <c r="R185" i="6"/>
  <c r="S185" i="6"/>
  <c r="T185" i="6"/>
  <c r="U185" i="6"/>
  <c r="V185" i="6"/>
  <c r="W185" i="6"/>
  <c r="X185" i="6"/>
  <c r="Q184" i="6"/>
  <c r="Q185" i="6"/>
  <c r="Q183" i="6"/>
  <c r="R178" i="6"/>
  <c r="S178" i="6"/>
  <c r="T178" i="6"/>
  <c r="U178" i="6"/>
  <c r="V178" i="6"/>
  <c r="W178" i="6"/>
  <c r="X178" i="6"/>
  <c r="R179" i="6"/>
  <c r="S179" i="6"/>
  <c r="T179" i="6"/>
  <c r="U179" i="6"/>
  <c r="V179" i="6"/>
  <c r="W179" i="6"/>
  <c r="X179" i="6"/>
  <c r="R180" i="6"/>
  <c r="S180" i="6"/>
  <c r="T180" i="6"/>
  <c r="U180" i="6"/>
  <c r="V180" i="6"/>
  <c r="W180" i="6"/>
  <c r="X180" i="6"/>
  <c r="Q179" i="6"/>
  <c r="Q180" i="6"/>
  <c r="Q178" i="6"/>
  <c r="R173" i="6"/>
  <c r="S173" i="6"/>
  <c r="T173" i="6"/>
  <c r="U173" i="6"/>
  <c r="V173" i="6"/>
  <c r="W173" i="6"/>
  <c r="X173" i="6"/>
  <c r="R174" i="6"/>
  <c r="S174" i="6"/>
  <c r="T174" i="6"/>
  <c r="U174" i="6"/>
  <c r="V174" i="6"/>
  <c r="W174" i="6"/>
  <c r="X174" i="6"/>
  <c r="R175" i="6"/>
  <c r="S175" i="6"/>
  <c r="T175" i="6"/>
  <c r="U175" i="6"/>
  <c r="V175" i="6"/>
  <c r="W175" i="6"/>
  <c r="X175" i="6"/>
  <c r="Q174" i="6"/>
  <c r="Q175" i="6"/>
  <c r="Q173" i="6"/>
  <c r="Q168" i="6"/>
  <c r="R168" i="6"/>
  <c r="S168" i="6"/>
  <c r="T168" i="6"/>
  <c r="U168" i="6"/>
  <c r="V168" i="6"/>
  <c r="W168" i="6"/>
  <c r="X168" i="6"/>
  <c r="R169" i="6"/>
  <c r="S169" i="6"/>
  <c r="T169" i="6"/>
  <c r="U169" i="6"/>
  <c r="V169" i="6"/>
  <c r="W169" i="6"/>
  <c r="X169" i="6"/>
  <c r="R170" i="6"/>
  <c r="S170" i="6"/>
  <c r="T170" i="6"/>
  <c r="U170" i="6"/>
  <c r="V170" i="6"/>
  <c r="W170" i="6"/>
  <c r="X170" i="6"/>
  <c r="Q169" i="6"/>
  <c r="Q170" i="6"/>
  <c r="R163" i="6"/>
  <c r="S163" i="6"/>
  <c r="T163" i="6"/>
  <c r="U163" i="6"/>
  <c r="V163" i="6"/>
  <c r="W163" i="6"/>
  <c r="X163" i="6"/>
  <c r="R164" i="6"/>
  <c r="S164" i="6"/>
  <c r="T164" i="6"/>
  <c r="U164" i="6"/>
  <c r="V164" i="6"/>
  <c r="W164" i="6"/>
  <c r="X164" i="6"/>
  <c r="R165" i="6"/>
  <c r="S165" i="6"/>
  <c r="T165" i="6"/>
  <c r="U165" i="6"/>
  <c r="V165" i="6"/>
  <c r="W165" i="6"/>
  <c r="X165" i="6"/>
  <c r="Q164" i="6"/>
  <c r="Q165" i="6"/>
  <c r="Q163" i="6"/>
  <c r="Z185" i="6"/>
  <c r="Z184" i="6"/>
  <c r="Z183" i="6"/>
  <c r="Z186" i="6" s="1"/>
  <c r="Z180" i="6"/>
  <c r="Z179" i="6"/>
  <c r="Z178" i="6"/>
  <c r="Z181" i="6" s="1"/>
  <c r="Z175" i="6"/>
  <c r="Z174" i="6"/>
  <c r="Z173" i="6"/>
  <c r="Z176" i="6" s="1"/>
  <c r="Z170" i="6"/>
  <c r="Z169" i="6"/>
  <c r="Z168" i="6"/>
  <c r="Z171" i="6" s="1"/>
  <c r="Z165" i="6"/>
  <c r="Z164" i="6"/>
  <c r="Z163" i="6"/>
  <c r="Z166" i="6" s="1"/>
  <c r="R188" i="6"/>
  <c r="S188" i="6"/>
  <c r="T188" i="6"/>
  <c r="U188" i="6"/>
  <c r="V188" i="6"/>
  <c r="W188" i="6"/>
  <c r="X188" i="6"/>
  <c r="R189" i="6"/>
  <c r="S189" i="6"/>
  <c r="T189" i="6"/>
  <c r="U189" i="6"/>
  <c r="V189" i="6"/>
  <c r="W189" i="6"/>
  <c r="X189" i="6"/>
  <c r="R190" i="6"/>
  <c r="S190" i="6"/>
  <c r="T190" i="6"/>
  <c r="U190" i="6"/>
  <c r="V190" i="6"/>
  <c r="W190" i="6"/>
  <c r="X190" i="6"/>
  <c r="Q189" i="6"/>
  <c r="Z189" i="6" s="1"/>
  <c r="Q190" i="6"/>
  <c r="Z190" i="6" s="1"/>
  <c r="Q188" i="6"/>
  <c r="Z188" i="6" s="1"/>
  <c r="Z191" i="6" s="1"/>
  <c r="Y53" i="6"/>
  <c r="Y190" i="6"/>
  <c r="Y189" i="6"/>
  <c r="Y188" i="6"/>
  <c r="Y185" i="6"/>
  <c r="Y184" i="6"/>
  <c r="Y183" i="6"/>
  <c r="Y180" i="6"/>
  <c r="Y179" i="6"/>
  <c r="Y178" i="6"/>
  <c r="Y175" i="6"/>
  <c r="Y174" i="6"/>
  <c r="Y173" i="6"/>
  <c r="Y170" i="6"/>
  <c r="Y169" i="6"/>
  <c r="Y168" i="6"/>
  <c r="Y165" i="6"/>
  <c r="Y163" i="6"/>
  <c r="Y164" i="6"/>
  <c r="N161" i="6"/>
  <c r="N156" i="6"/>
  <c r="N151" i="6"/>
  <c r="N141" i="6"/>
  <c r="N136" i="6"/>
  <c r="Q133" i="6" s="1"/>
  <c r="N131" i="6"/>
  <c r="N126" i="6"/>
  <c r="N121" i="6"/>
  <c r="N116" i="6"/>
  <c r="N111" i="6"/>
  <c r="N106" i="6"/>
  <c r="N101" i="6"/>
  <c r="N96" i="6"/>
  <c r="N91" i="6"/>
  <c r="N86" i="6"/>
  <c r="N81" i="6"/>
  <c r="N76" i="6"/>
  <c r="N71" i="6"/>
  <c r="N61" i="6"/>
  <c r="Y48" i="6"/>
  <c r="BY1" i="6"/>
  <c r="Q3" i="6"/>
  <c r="G119" i="4"/>
  <c r="Z119" i="4" s="1"/>
  <c r="X66" i="1"/>
  <c r="Q81" i="4"/>
  <c r="Q82" i="4"/>
  <c r="Q83" i="4"/>
  <c r="Q84" i="4"/>
  <c r="G63" i="4"/>
  <c r="G64" i="4"/>
  <c r="G65" i="4"/>
  <c r="Q55" i="4"/>
  <c r="G55" i="4"/>
  <c r="X129" i="2"/>
  <c r="X128" i="2"/>
  <c r="X127" i="2"/>
  <c r="W3" i="4"/>
  <c r="AZ107" i="2"/>
  <c r="BI105" i="2"/>
  <c r="BG103" i="2"/>
  <c r="BF103" i="2"/>
  <c r="BE103" i="2"/>
  <c r="BD103" i="2"/>
  <c r="BC103" i="2"/>
  <c r="BB103" i="2"/>
  <c r="BA103" i="2"/>
  <c r="AZ103" i="2"/>
  <c r="BH103" i="2" s="1"/>
  <c r="BG102" i="2"/>
  <c r="BF102" i="2"/>
  <c r="BE102" i="2"/>
  <c r="BD102" i="2"/>
  <c r="BC102" i="2"/>
  <c r="BB102" i="2"/>
  <c r="BA102" i="2"/>
  <c r="AZ102" i="2"/>
  <c r="BH102" i="2" s="1"/>
  <c r="BH105" i="2" s="1"/>
  <c r="BI100" i="2"/>
  <c r="BG98" i="2"/>
  <c r="BF98" i="2"/>
  <c r="BE98" i="2"/>
  <c r="BD98" i="2"/>
  <c r="BC98" i="2"/>
  <c r="BB98" i="2"/>
  <c r="BA98" i="2"/>
  <c r="AZ98" i="2"/>
  <c r="BH98" i="2" s="1"/>
  <c r="BG97" i="2"/>
  <c r="BF97" i="2"/>
  <c r="BE97" i="2"/>
  <c r="BD97" i="2"/>
  <c r="BC97" i="2"/>
  <c r="BB97" i="2"/>
  <c r="BA97" i="2"/>
  <c r="AZ97" i="2"/>
  <c r="BH97" i="2" s="1"/>
  <c r="BH100" i="2" s="1"/>
  <c r="BI95" i="2"/>
  <c r="BG93" i="2"/>
  <c r="BF93" i="2"/>
  <c r="BE93" i="2"/>
  <c r="BD93" i="2"/>
  <c r="BC93" i="2"/>
  <c r="BB93" i="2"/>
  <c r="BA93" i="2"/>
  <c r="AZ93" i="2"/>
  <c r="BH93" i="2" s="1"/>
  <c r="BG92" i="2"/>
  <c r="BF92" i="2"/>
  <c r="BE92" i="2"/>
  <c r="BD92" i="2"/>
  <c r="BC92" i="2"/>
  <c r="BB92" i="2"/>
  <c r="BA92" i="2"/>
  <c r="AZ92" i="2"/>
  <c r="BH92" i="2" s="1"/>
  <c r="BH95" i="2" s="1"/>
  <c r="BH62" i="2"/>
  <c r="BG83" i="2"/>
  <c r="BF83" i="2"/>
  <c r="BE83" i="2"/>
  <c r="BD83" i="2"/>
  <c r="BC83" i="2"/>
  <c r="BB83" i="2"/>
  <c r="BA83" i="2"/>
  <c r="AZ83" i="2"/>
  <c r="BH83" i="2" s="1"/>
  <c r="BG82" i="2"/>
  <c r="BF82" i="2"/>
  <c r="BE82" i="2"/>
  <c r="BD82" i="2"/>
  <c r="BC82" i="2"/>
  <c r="BB82" i="2"/>
  <c r="BA82" i="2"/>
  <c r="AZ82" i="2"/>
  <c r="BH82" i="2" s="1"/>
  <c r="BH85" i="2" s="1"/>
  <c r="BG78" i="2"/>
  <c r="BF78" i="2"/>
  <c r="BE78" i="2"/>
  <c r="BD78" i="2"/>
  <c r="BC78" i="2"/>
  <c r="BB78" i="2"/>
  <c r="BA78" i="2"/>
  <c r="AZ78" i="2"/>
  <c r="BH78" i="2" s="1"/>
  <c r="BG77" i="2"/>
  <c r="BF77" i="2"/>
  <c r="BE77" i="2"/>
  <c r="BD77" i="2"/>
  <c r="BC77" i="2"/>
  <c r="BB77" i="2"/>
  <c r="BA77" i="2"/>
  <c r="AZ77" i="2"/>
  <c r="BH77" i="2" s="1"/>
  <c r="BH80" i="2" s="1"/>
  <c r="BF73" i="2"/>
  <c r="BE73" i="2"/>
  <c r="BD73" i="2"/>
  <c r="BC73" i="2"/>
  <c r="BB73" i="2"/>
  <c r="BA73" i="2"/>
  <c r="AZ73" i="2"/>
  <c r="BH73" i="2" s="1"/>
  <c r="BF72" i="2"/>
  <c r="BE72" i="2"/>
  <c r="BD72" i="2"/>
  <c r="BC72" i="2"/>
  <c r="BB72" i="2"/>
  <c r="BA72" i="2"/>
  <c r="AZ72" i="2"/>
  <c r="BH72" i="2" s="1"/>
  <c r="BH75" i="2" s="1"/>
  <c r="BF68" i="2"/>
  <c r="BE68" i="2"/>
  <c r="BD68" i="2"/>
  <c r="BC68" i="2"/>
  <c r="BB68" i="2"/>
  <c r="BA68" i="2"/>
  <c r="AZ68" i="2"/>
  <c r="BH68" i="2" s="1"/>
  <c r="BF67" i="2"/>
  <c r="BE67" i="2"/>
  <c r="BD67" i="2"/>
  <c r="BC67" i="2"/>
  <c r="BB67" i="2"/>
  <c r="BA67" i="2"/>
  <c r="AZ67" i="2"/>
  <c r="BH67" i="2" s="1"/>
  <c r="BH70" i="2" s="1"/>
  <c r="L64" i="2"/>
  <c r="K63" i="2"/>
  <c r="K62" i="2"/>
  <c r="L62" i="2"/>
  <c r="BF63" i="2"/>
  <c r="BE63" i="2"/>
  <c r="BD63" i="2"/>
  <c r="BC63" i="2"/>
  <c r="BB63" i="2"/>
  <c r="BA63" i="2"/>
  <c r="AZ63" i="2"/>
  <c r="BH63" i="2" s="1"/>
  <c r="BH65" i="2" s="1"/>
  <c r="BF62" i="2"/>
  <c r="BE62" i="2"/>
  <c r="BD62" i="2"/>
  <c r="BC62" i="2"/>
  <c r="BB62" i="2"/>
  <c r="BA62" i="2"/>
  <c r="AZ62" i="2"/>
  <c r="BG58" i="2"/>
  <c r="BF58" i="2"/>
  <c r="BE58" i="2"/>
  <c r="BD58" i="2"/>
  <c r="BC58" i="2"/>
  <c r="BB58" i="2"/>
  <c r="BA58" i="2"/>
  <c r="AZ58" i="2"/>
  <c r="BH58" i="2" s="1"/>
  <c r="BG57" i="2"/>
  <c r="BF57" i="2"/>
  <c r="BE57" i="2"/>
  <c r="BD57" i="2"/>
  <c r="BC57" i="2"/>
  <c r="BB57" i="2"/>
  <c r="BA57" i="2"/>
  <c r="AZ57" i="2"/>
  <c r="BH57" i="2" s="1"/>
  <c r="BH60" i="2" s="1"/>
  <c r="BG53" i="2"/>
  <c r="BF53" i="2"/>
  <c r="BE53" i="2"/>
  <c r="BD53" i="2"/>
  <c r="BC53" i="2"/>
  <c r="BB53" i="2"/>
  <c r="BA53" i="2"/>
  <c r="AZ53" i="2"/>
  <c r="BH53" i="2" s="1"/>
  <c r="BG52" i="2"/>
  <c r="BF52" i="2"/>
  <c r="BE52" i="2"/>
  <c r="BD52" i="2"/>
  <c r="BC52" i="2"/>
  <c r="BB52" i="2"/>
  <c r="BA52" i="2"/>
  <c r="AZ52" i="2"/>
  <c r="BH52" i="2" s="1"/>
  <c r="BH55" i="2" s="1"/>
  <c r="BG48" i="2"/>
  <c r="BF48" i="2"/>
  <c r="BE48" i="2"/>
  <c r="BD48" i="2"/>
  <c r="BC48" i="2"/>
  <c r="BB48" i="2"/>
  <c r="BA48" i="2"/>
  <c r="AZ48" i="2"/>
  <c r="BH48" i="2" s="1"/>
  <c r="BG47" i="2"/>
  <c r="BF47" i="2"/>
  <c r="BE47" i="2"/>
  <c r="BD47" i="2"/>
  <c r="BC47" i="2"/>
  <c r="BB47" i="2"/>
  <c r="BA47" i="2"/>
  <c r="AZ47" i="2"/>
  <c r="BH47" i="2" s="1"/>
  <c r="BH50" i="2" s="1"/>
  <c r="BG43" i="2"/>
  <c r="BF43" i="2"/>
  <c r="BE43" i="2"/>
  <c r="BD43" i="2"/>
  <c r="BC43" i="2"/>
  <c r="BB43" i="2"/>
  <c r="BA43" i="2"/>
  <c r="AZ43" i="2"/>
  <c r="BH43" i="2" s="1"/>
  <c r="BG42" i="2"/>
  <c r="BF42" i="2"/>
  <c r="BE42" i="2"/>
  <c r="BD42" i="2"/>
  <c r="BC42" i="2"/>
  <c r="BB42" i="2"/>
  <c r="BA42" i="2"/>
  <c r="AZ42" i="2"/>
  <c r="BH42" i="2" s="1"/>
  <c r="BH45" i="2" s="1"/>
  <c r="BG38" i="2"/>
  <c r="BF38" i="2"/>
  <c r="BE38" i="2"/>
  <c r="BD38" i="2"/>
  <c r="BC38" i="2"/>
  <c r="BB38" i="2"/>
  <c r="BA38" i="2"/>
  <c r="AZ38" i="2"/>
  <c r="BH38" i="2" s="1"/>
  <c r="BG37" i="2"/>
  <c r="BF37" i="2"/>
  <c r="BE37" i="2"/>
  <c r="BD37" i="2"/>
  <c r="BC37" i="2"/>
  <c r="BB37" i="2"/>
  <c r="BA37" i="2"/>
  <c r="AZ37" i="2"/>
  <c r="BH37" i="2" s="1"/>
  <c r="BH40" i="2" s="1"/>
  <c r="BG33" i="2"/>
  <c r="BF33" i="2"/>
  <c r="BE33" i="2"/>
  <c r="BD33" i="2"/>
  <c r="BC33" i="2"/>
  <c r="BB33" i="2"/>
  <c r="BA33" i="2"/>
  <c r="AZ33" i="2"/>
  <c r="BH33" i="2" s="1"/>
  <c r="BG32" i="2"/>
  <c r="BF32" i="2"/>
  <c r="BE32" i="2"/>
  <c r="BD32" i="2"/>
  <c r="BC32" i="2"/>
  <c r="BB32" i="2"/>
  <c r="BA32" i="2"/>
  <c r="AZ32" i="2"/>
  <c r="BH32" i="2" s="1"/>
  <c r="BH35" i="2" s="1"/>
  <c r="BG28" i="2"/>
  <c r="BF28" i="2"/>
  <c r="BE28" i="2"/>
  <c r="BD28" i="2"/>
  <c r="BC28" i="2"/>
  <c r="BB28" i="2"/>
  <c r="BA28" i="2"/>
  <c r="AZ28" i="2"/>
  <c r="BH28" i="2" s="1"/>
  <c r="BG27" i="2"/>
  <c r="BF27" i="2"/>
  <c r="BE27" i="2"/>
  <c r="BD27" i="2"/>
  <c r="BC27" i="2"/>
  <c r="BB27" i="2"/>
  <c r="BA27" i="2"/>
  <c r="AZ27" i="2"/>
  <c r="BH27" i="2" s="1"/>
  <c r="BH30" i="2" s="1"/>
  <c r="BG23" i="2"/>
  <c r="BF23" i="2"/>
  <c r="BE23" i="2"/>
  <c r="BD23" i="2"/>
  <c r="BC23" i="2"/>
  <c r="BB23" i="2"/>
  <c r="BA23" i="2"/>
  <c r="AZ23" i="2"/>
  <c r="BH23" i="2" s="1"/>
  <c r="BG22" i="2"/>
  <c r="BF22" i="2"/>
  <c r="BE22" i="2"/>
  <c r="BD22" i="2"/>
  <c r="BC22" i="2"/>
  <c r="BB22" i="2"/>
  <c r="BA22" i="2"/>
  <c r="AZ22" i="2"/>
  <c r="BH22" i="2" s="1"/>
  <c r="BH25" i="2" s="1"/>
  <c r="BG18" i="2"/>
  <c r="BF18" i="2"/>
  <c r="BE18" i="2"/>
  <c r="BD18" i="2"/>
  <c r="BC18" i="2"/>
  <c r="BB18" i="2"/>
  <c r="BA18" i="2"/>
  <c r="AZ18" i="2"/>
  <c r="BH18" i="2" s="1"/>
  <c r="BG17" i="2"/>
  <c r="BF17" i="2"/>
  <c r="BE17" i="2"/>
  <c r="BD17" i="2"/>
  <c r="BC17" i="2"/>
  <c r="BB17" i="2"/>
  <c r="BA17" i="2"/>
  <c r="AZ17" i="2"/>
  <c r="BH17" i="2" s="1"/>
  <c r="BH20" i="2" s="1"/>
  <c r="BG13" i="2"/>
  <c r="BF13" i="2"/>
  <c r="BE13" i="2"/>
  <c r="BD13" i="2"/>
  <c r="BC13" i="2"/>
  <c r="BB13" i="2"/>
  <c r="BA13" i="2"/>
  <c r="AZ13" i="2"/>
  <c r="BH13" i="2" s="1"/>
  <c r="BG12" i="2"/>
  <c r="BF12" i="2"/>
  <c r="BE12" i="2"/>
  <c r="BD12" i="2"/>
  <c r="BC12" i="2"/>
  <c r="BB12" i="2"/>
  <c r="BA12" i="2"/>
  <c r="AZ12" i="2"/>
  <c r="BH12" i="2" s="1"/>
  <c r="BH15" i="2" s="1"/>
  <c r="BG8" i="2"/>
  <c r="BF8" i="2"/>
  <c r="BE8" i="2"/>
  <c r="BD8" i="2"/>
  <c r="BC8" i="2"/>
  <c r="BB8" i="2"/>
  <c r="BA8" i="2"/>
  <c r="AZ8" i="2"/>
  <c r="BH8" i="2" s="1"/>
  <c r="BG7" i="2"/>
  <c r="BF7" i="2"/>
  <c r="BE7" i="2"/>
  <c r="BD7" i="2"/>
  <c r="BC7" i="2"/>
  <c r="BB7" i="2"/>
  <c r="BA7" i="2"/>
  <c r="AZ7" i="2"/>
  <c r="BH7" i="2" s="1"/>
  <c r="BH10" i="2" s="1"/>
  <c r="BG3" i="2"/>
  <c r="BF3" i="2"/>
  <c r="BE3" i="2"/>
  <c r="BD3" i="2"/>
  <c r="BC3" i="2"/>
  <c r="BB3" i="2"/>
  <c r="BA3" i="2"/>
  <c r="AZ3" i="2"/>
  <c r="BH3" i="2" s="1"/>
  <c r="BG2" i="2"/>
  <c r="BF2" i="2"/>
  <c r="BE2" i="2"/>
  <c r="BD2" i="2"/>
  <c r="BC2" i="2"/>
  <c r="BB2" i="2"/>
  <c r="BA2" i="2"/>
  <c r="AZ2" i="2"/>
  <c r="BH2" i="2" s="1"/>
  <c r="BH5" i="2" s="1"/>
  <c r="BI110" i="2"/>
  <c r="BI109" i="2"/>
  <c r="BG109" i="2"/>
  <c r="BF109" i="2"/>
  <c r="BE109" i="2"/>
  <c r="BD109" i="2"/>
  <c r="BC109" i="2"/>
  <c r="BB109" i="2"/>
  <c r="BA109" i="2"/>
  <c r="AZ109" i="2"/>
  <c r="BH109" i="2" s="1"/>
  <c r="BI108" i="2"/>
  <c r="BG108" i="2"/>
  <c r="BF108" i="2"/>
  <c r="BE108" i="2"/>
  <c r="BD108" i="2"/>
  <c r="BC108" i="2"/>
  <c r="BB108" i="2"/>
  <c r="BA108" i="2"/>
  <c r="AZ108" i="2"/>
  <c r="BH108" i="2" s="1"/>
  <c r="BI107" i="2"/>
  <c r="BG107" i="2"/>
  <c r="BF107" i="2"/>
  <c r="BE107" i="2"/>
  <c r="BD107" i="2"/>
  <c r="BC107" i="2"/>
  <c r="BB107" i="2"/>
  <c r="BA107" i="2"/>
  <c r="BH107" i="2"/>
  <c r="BH110" i="2" s="1"/>
  <c r="BI115" i="2"/>
  <c r="BI114" i="2"/>
  <c r="BG114" i="2"/>
  <c r="BF114" i="2"/>
  <c r="BE114" i="2"/>
  <c r="BD114" i="2"/>
  <c r="BC114" i="2"/>
  <c r="BB114" i="2"/>
  <c r="BA114" i="2"/>
  <c r="AZ114" i="2"/>
  <c r="BH114" i="2" s="1"/>
  <c r="BI113" i="2"/>
  <c r="BG113" i="2"/>
  <c r="BF113" i="2"/>
  <c r="BE113" i="2"/>
  <c r="BD113" i="2"/>
  <c r="BC113" i="2"/>
  <c r="BB113" i="2"/>
  <c r="BA113" i="2"/>
  <c r="AZ113" i="2"/>
  <c r="BH113" i="2" s="1"/>
  <c r="BI112" i="2"/>
  <c r="BG112" i="2"/>
  <c r="BF112" i="2"/>
  <c r="BE112" i="2"/>
  <c r="BD112" i="2"/>
  <c r="BC112" i="2"/>
  <c r="BB112" i="2"/>
  <c r="BA112" i="2"/>
  <c r="AZ112" i="2"/>
  <c r="BH112" i="2" s="1"/>
  <c r="BH115" i="2" s="1"/>
  <c r="BI120" i="2"/>
  <c r="BI119" i="2"/>
  <c r="BG119" i="2"/>
  <c r="BF119" i="2"/>
  <c r="BE119" i="2"/>
  <c r="BD119" i="2"/>
  <c r="BC119" i="2"/>
  <c r="BB119" i="2"/>
  <c r="BA119" i="2"/>
  <c r="AZ119" i="2"/>
  <c r="BH119" i="2" s="1"/>
  <c r="BI118" i="2"/>
  <c r="BG118" i="2"/>
  <c r="BF118" i="2"/>
  <c r="BE118" i="2"/>
  <c r="BD118" i="2"/>
  <c r="BC118" i="2"/>
  <c r="BB118" i="2"/>
  <c r="BA118" i="2"/>
  <c r="AZ118" i="2"/>
  <c r="BH118" i="2" s="1"/>
  <c r="BI117" i="2"/>
  <c r="BG117" i="2"/>
  <c r="BF117" i="2"/>
  <c r="BE117" i="2"/>
  <c r="BD117" i="2"/>
  <c r="BC117" i="2"/>
  <c r="BB117" i="2"/>
  <c r="BA117" i="2"/>
  <c r="AZ117" i="2"/>
  <c r="BH117" i="2" s="1"/>
  <c r="BH120" i="2" s="1"/>
  <c r="BI125" i="2"/>
  <c r="BI124" i="2"/>
  <c r="BG124" i="2"/>
  <c r="BF124" i="2"/>
  <c r="BE124" i="2"/>
  <c r="BD124" i="2"/>
  <c r="BC124" i="2"/>
  <c r="BB124" i="2"/>
  <c r="BA124" i="2"/>
  <c r="AZ124" i="2"/>
  <c r="BH124" i="2" s="1"/>
  <c r="BI123" i="2"/>
  <c r="BG123" i="2"/>
  <c r="BF123" i="2"/>
  <c r="BE123" i="2"/>
  <c r="BD123" i="2"/>
  <c r="BC123" i="2"/>
  <c r="BB123" i="2"/>
  <c r="BA123" i="2"/>
  <c r="AZ123" i="2"/>
  <c r="BH123" i="2" s="1"/>
  <c r="BI122" i="2"/>
  <c r="BG122" i="2"/>
  <c r="BF122" i="2"/>
  <c r="BE122" i="2"/>
  <c r="BD122" i="2"/>
  <c r="BC122" i="2"/>
  <c r="BB122" i="2"/>
  <c r="BA122" i="2"/>
  <c r="AZ122" i="2"/>
  <c r="BH122" i="2" s="1"/>
  <c r="BH125" i="2" s="1"/>
  <c r="BI129" i="2"/>
  <c r="BG129" i="2"/>
  <c r="BF129" i="2"/>
  <c r="BE129" i="2"/>
  <c r="BD129" i="2"/>
  <c r="BC129" i="2"/>
  <c r="BB129" i="2"/>
  <c r="BA129" i="2"/>
  <c r="AZ129" i="2"/>
  <c r="BH129" i="2" s="1"/>
  <c r="BI128" i="2"/>
  <c r="BG128" i="2"/>
  <c r="BF128" i="2"/>
  <c r="BE128" i="2"/>
  <c r="BD128" i="2"/>
  <c r="BC128" i="2"/>
  <c r="BB128" i="2"/>
  <c r="BA128" i="2"/>
  <c r="AZ128" i="2"/>
  <c r="BH128" i="2" s="1"/>
  <c r="BI127" i="2"/>
  <c r="BG127" i="2"/>
  <c r="BF127" i="2"/>
  <c r="BE127" i="2"/>
  <c r="BD127" i="2"/>
  <c r="BC127" i="2"/>
  <c r="BB127" i="2"/>
  <c r="BA127" i="2"/>
  <c r="AZ127" i="2"/>
  <c r="BH127" i="2" s="1"/>
  <c r="BH130" i="2" s="1"/>
  <c r="BI135" i="2"/>
  <c r="X130" i="2"/>
  <c r="BI130" i="2" s="1"/>
  <c r="X114" i="2"/>
  <c r="X113" i="2"/>
  <c r="X112" i="2"/>
  <c r="X115" i="2" s="1"/>
  <c r="BI190" i="2"/>
  <c r="BG188" i="2"/>
  <c r="BF188" i="2"/>
  <c r="BE188" i="2"/>
  <c r="BD188" i="2"/>
  <c r="BC188" i="2"/>
  <c r="BB188" i="2"/>
  <c r="BA188" i="2"/>
  <c r="AZ188" i="2"/>
  <c r="BH188" i="2" s="1"/>
  <c r="BG187" i="2"/>
  <c r="BF187" i="2"/>
  <c r="BE187" i="2"/>
  <c r="BD187" i="2"/>
  <c r="BC187" i="2"/>
  <c r="BB187" i="2"/>
  <c r="BA187" i="2"/>
  <c r="AZ187" i="2"/>
  <c r="BH187" i="2" s="1"/>
  <c r="BH190" i="2" s="1"/>
  <c r="AZ182" i="2"/>
  <c r="BI215" i="2"/>
  <c r="BH215" i="2"/>
  <c r="BH264" i="2"/>
  <c r="BG264" i="2"/>
  <c r="BF264" i="2"/>
  <c r="BE264" i="2"/>
  <c r="BD264" i="2"/>
  <c r="BC264" i="2"/>
  <c r="BB264" i="2"/>
  <c r="BA264" i="2"/>
  <c r="AZ264" i="2"/>
  <c r="BH263" i="2"/>
  <c r="BG263" i="2"/>
  <c r="BF263" i="2"/>
  <c r="BE263" i="2"/>
  <c r="BD263" i="2"/>
  <c r="BC263" i="2"/>
  <c r="BB263" i="2"/>
  <c r="BA263" i="2"/>
  <c r="AZ263" i="2"/>
  <c r="BH262" i="2"/>
  <c r="BH265" i="2" s="1"/>
  <c r="BG262" i="2"/>
  <c r="BF262" i="2"/>
  <c r="BE262" i="2"/>
  <c r="BD262" i="2"/>
  <c r="BC262" i="2"/>
  <c r="BB262" i="2"/>
  <c r="BA262" i="2"/>
  <c r="AZ262" i="2"/>
  <c r="BH269" i="2"/>
  <c r="BG269" i="2"/>
  <c r="BF269" i="2"/>
  <c r="BE269" i="2"/>
  <c r="BD269" i="2"/>
  <c r="BC269" i="2"/>
  <c r="BB269" i="2"/>
  <c r="BA269" i="2"/>
  <c r="AZ269" i="2"/>
  <c r="BH268" i="2"/>
  <c r="BG268" i="2"/>
  <c r="BF268" i="2"/>
  <c r="BE268" i="2"/>
  <c r="BD268" i="2"/>
  <c r="BC268" i="2"/>
  <c r="BB268" i="2"/>
  <c r="BA268" i="2"/>
  <c r="AZ268" i="2"/>
  <c r="BH267" i="2"/>
  <c r="BH270" i="2" s="1"/>
  <c r="BG267" i="2"/>
  <c r="BF267" i="2"/>
  <c r="BE267" i="2"/>
  <c r="BD267" i="2"/>
  <c r="BC267" i="2"/>
  <c r="BB267" i="2"/>
  <c r="BA267" i="2"/>
  <c r="AZ267" i="2"/>
  <c r="BI260" i="2"/>
  <c r="BG258" i="2"/>
  <c r="BF258" i="2"/>
  <c r="BE258" i="2"/>
  <c r="BD258" i="2"/>
  <c r="BC258" i="2"/>
  <c r="BB258" i="2"/>
  <c r="BA258" i="2"/>
  <c r="AZ258" i="2"/>
  <c r="BG257" i="2"/>
  <c r="BF257" i="2"/>
  <c r="BE257" i="2"/>
  <c r="BD257" i="2"/>
  <c r="BC257" i="2"/>
  <c r="BB257" i="2"/>
  <c r="BA257" i="2"/>
  <c r="AZ257" i="2"/>
  <c r="BG253" i="2"/>
  <c r="BF253" i="2"/>
  <c r="BE253" i="2"/>
  <c r="BD253" i="2"/>
  <c r="BC253" i="2"/>
  <c r="BB253" i="2"/>
  <c r="BA253" i="2"/>
  <c r="AZ253" i="2"/>
  <c r="BG252" i="2"/>
  <c r="BF252" i="2"/>
  <c r="BE252" i="2"/>
  <c r="BD252" i="2"/>
  <c r="BC252" i="2"/>
  <c r="BB252" i="2"/>
  <c r="BA252" i="2"/>
  <c r="AZ252" i="2"/>
  <c r="BG248" i="2"/>
  <c r="BF248" i="2"/>
  <c r="BE248" i="2"/>
  <c r="BD248" i="2"/>
  <c r="BC248" i="2"/>
  <c r="BB248" i="2"/>
  <c r="BA248" i="2"/>
  <c r="AZ248" i="2"/>
  <c r="BG247" i="2"/>
  <c r="BF247" i="2"/>
  <c r="BE247" i="2"/>
  <c r="BD247" i="2"/>
  <c r="BC247" i="2"/>
  <c r="BB247" i="2"/>
  <c r="BA247" i="2"/>
  <c r="AZ247" i="2"/>
  <c r="BG238" i="2"/>
  <c r="BF238" i="2"/>
  <c r="BE238" i="2"/>
  <c r="BD238" i="2"/>
  <c r="BC238" i="2"/>
  <c r="BB238" i="2"/>
  <c r="BA238" i="2"/>
  <c r="AZ238" i="2"/>
  <c r="BG237" i="2"/>
  <c r="BF237" i="2"/>
  <c r="BE237" i="2"/>
  <c r="BD237" i="2"/>
  <c r="BC237" i="2"/>
  <c r="BB237" i="2"/>
  <c r="BA237" i="2"/>
  <c r="AZ237" i="2"/>
  <c r="BG233" i="2"/>
  <c r="BF233" i="2"/>
  <c r="BE233" i="2"/>
  <c r="BD233" i="2"/>
  <c r="BC233" i="2"/>
  <c r="BB233" i="2"/>
  <c r="BA233" i="2"/>
  <c r="AZ233" i="2"/>
  <c r="BG232" i="2"/>
  <c r="BF232" i="2"/>
  <c r="BE232" i="2"/>
  <c r="BD232" i="2"/>
  <c r="BC232" i="2"/>
  <c r="BB232" i="2"/>
  <c r="BA232" i="2"/>
  <c r="AZ232" i="2"/>
  <c r="BG228" i="2"/>
  <c r="BF228" i="2"/>
  <c r="BE228" i="2"/>
  <c r="BD228" i="2"/>
  <c r="BC228" i="2"/>
  <c r="BB228" i="2"/>
  <c r="BA228" i="2"/>
  <c r="AZ228" i="2"/>
  <c r="BG227" i="2"/>
  <c r="BF227" i="2"/>
  <c r="BE227" i="2"/>
  <c r="BD227" i="2"/>
  <c r="BC227" i="2"/>
  <c r="BB227" i="2"/>
  <c r="BA227" i="2"/>
  <c r="AZ227" i="2"/>
  <c r="BG223" i="2"/>
  <c r="BF223" i="2"/>
  <c r="BE223" i="2"/>
  <c r="BD223" i="2"/>
  <c r="BC223" i="2"/>
  <c r="BB223" i="2"/>
  <c r="BA223" i="2"/>
  <c r="AZ223" i="2"/>
  <c r="BG222" i="2"/>
  <c r="BF222" i="2"/>
  <c r="BE222" i="2"/>
  <c r="BD222" i="2"/>
  <c r="BC222" i="2"/>
  <c r="BB222" i="2"/>
  <c r="BA222" i="2"/>
  <c r="AZ222" i="2"/>
  <c r="BG218" i="2"/>
  <c r="BF218" i="2"/>
  <c r="BE218" i="2"/>
  <c r="BD218" i="2"/>
  <c r="BC218" i="2"/>
  <c r="BB218" i="2"/>
  <c r="BA218" i="2"/>
  <c r="AZ218" i="2"/>
  <c r="BG217" i="2"/>
  <c r="BF217" i="2"/>
  <c r="BE217" i="2"/>
  <c r="BD217" i="2"/>
  <c r="BC217" i="2"/>
  <c r="BB217" i="2"/>
  <c r="BA217" i="2"/>
  <c r="AZ217" i="2"/>
  <c r="BA212" i="2"/>
  <c r="BB212" i="2"/>
  <c r="BC212" i="2"/>
  <c r="BD212" i="2"/>
  <c r="BE212" i="2"/>
  <c r="BF212" i="2"/>
  <c r="BG212" i="2"/>
  <c r="BA213" i="2"/>
  <c r="BB213" i="2"/>
  <c r="BC213" i="2"/>
  <c r="BD213" i="2"/>
  <c r="BE213" i="2"/>
  <c r="BF213" i="2"/>
  <c r="BG213" i="2"/>
  <c r="AZ213" i="2"/>
  <c r="AZ212" i="2"/>
  <c r="BG274" i="2"/>
  <c r="BF274" i="2"/>
  <c r="BE274" i="2"/>
  <c r="BD274" i="2"/>
  <c r="BC274" i="2"/>
  <c r="BB274" i="2"/>
  <c r="BA274" i="2"/>
  <c r="AZ274" i="2"/>
  <c r="BG273" i="2"/>
  <c r="BF273" i="2"/>
  <c r="BE273" i="2"/>
  <c r="BD273" i="2"/>
  <c r="BC273" i="2"/>
  <c r="BB273" i="2"/>
  <c r="BA273" i="2"/>
  <c r="AZ273" i="2"/>
  <c r="BG272" i="2"/>
  <c r="BF272" i="2"/>
  <c r="BE272" i="2"/>
  <c r="BD272" i="2"/>
  <c r="BC272" i="2"/>
  <c r="BB272" i="2"/>
  <c r="BA272" i="2"/>
  <c r="AZ272" i="2"/>
  <c r="BG279" i="2"/>
  <c r="BF279" i="2"/>
  <c r="BE279" i="2"/>
  <c r="BD279" i="2"/>
  <c r="BC279" i="2"/>
  <c r="BB279" i="2"/>
  <c r="BA279" i="2"/>
  <c r="AZ279" i="2"/>
  <c r="BG278" i="2"/>
  <c r="BF278" i="2"/>
  <c r="BE278" i="2"/>
  <c r="BD278" i="2"/>
  <c r="BC278" i="2"/>
  <c r="BB278" i="2"/>
  <c r="BA278" i="2"/>
  <c r="AZ278" i="2"/>
  <c r="BG277" i="2"/>
  <c r="BF277" i="2"/>
  <c r="BE277" i="2"/>
  <c r="BD277" i="2"/>
  <c r="BC277" i="2"/>
  <c r="BB277" i="2"/>
  <c r="BA277" i="2"/>
  <c r="AZ277" i="2"/>
  <c r="BG284" i="2"/>
  <c r="BF284" i="2"/>
  <c r="BE284" i="2"/>
  <c r="BD284" i="2"/>
  <c r="BC284" i="2"/>
  <c r="BB284" i="2"/>
  <c r="BA284" i="2"/>
  <c r="AZ284" i="2"/>
  <c r="BG283" i="2"/>
  <c r="BF283" i="2"/>
  <c r="BE283" i="2"/>
  <c r="BD283" i="2"/>
  <c r="BC283" i="2"/>
  <c r="BB283" i="2"/>
  <c r="BA283" i="2"/>
  <c r="AZ283" i="2"/>
  <c r="BG282" i="2"/>
  <c r="BF282" i="2"/>
  <c r="BE282" i="2"/>
  <c r="BD282" i="2"/>
  <c r="BC282" i="2"/>
  <c r="BB282" i="2"/>
  <c r="BA282" i="2"/>
  <c r="AZ282" i="2"/>
  <c r="BG289" i="2"/>
  <c r="BF289" i="2"/>
  <c r="BE289" i="2"/>
  <c r="BD289" i="2"/>
  <c r="BC289" i="2"/>
  <c r="BB289" i="2"/>
  <c r="BA289" i="2"/>
  <c r="AZ289" i="2"/>
  <c r="BG288" i="2"/>
  <c r="BF288" i="2"/>
  <c r="BE288" i="2"/>
  <c r="BD288" i="2"/>
  <c r="BC288" i="2"/>
  <c r="BB288" i="2"/>
  <c r="BA288" i="2"/>
  <c r="AZ288" i="2"/>
  <c r="BG287" i="2"/>
  <c r="BF287" i="2"/>
  <c r="BE287" i="2"/>
  <c r="BD287" i="2"/>
  <c r="BC287" i="2"/>
  <c r="BB287" i="2"/>
  <c r="BA287" i="2"/>
  <c r="AZ287" i="2"/>
  <c r="BG294" i="2"/>
  <c r="BF294" i="2"/>
  <c r="BE294" i="2"/>
  <c r="BD294" i="2"/>
  <c r="BC294" i="2"/>
  <c r="BB294" i="2"/>
  <c r="BA294" i="2"/>
  <c r="AZ294" i="2"/>
  <c r="BG293" i="2"/>
  <c r="BF293" i="2"/>
  <c r="BE293" i="2"/>
  <c r="BD293" i="2"/>
  <c r="BC293" i="2"/>
  <c r="BB293" i="2"/>
  <c r="BA293" i="2"/>
  <c r="AZ293" i="2"/>
  <c r="BG292" i="2"/>
  <c r="BF292" i="2"/>
  <c r="BE292" i="2"/>
  <c r="BD292" i="2"/>
  <c r="BC292" i="2"/>
  <c r="BB292" i="2"/>
  <c r="BA292" i="2"/>
  <c r="AZ292" i="2"/>
  <c r="BG299" i="2"/>
  <c r="BF299" i="2"/>
  <c r="BE299" i="2"/>
  <c r="BD299" i="2"/>
  <c r="BC299" i="2"/>
  <c r="BB299" i="2"/>
  <c r="BA299" i="2"/>
  <c r="AZ299" i="2"/>
  <c r="BG298" i="2"/>
  <c r="BF298" i="2"/>
  <c r="BE298" i="2"/>
  <c r="BD298" i="2"/>
  <c r="BC298" i="2"/>
  <c r="BB298" i="2"/>
  <c r="BA298" i="2"/>
  <c r="AZ298" i="2"/>
  <c r="BG297" i="2"/>
  <c r="BF297" i="2"/>
  <c r="BE297" i="2"/>
  <c r="BD297" i="2"/>
  <c r="BC297" i="2"/>
  <c r="BB297" i="2"/>
  <c r="BA297" i="2"/>
  <c r="AZ297" i="2"/>
  <c r="BG304" i="2"/>
  <c r="BF304" i="2"/>
  <c r="BE304" i="2"/>
  <c r="BD304" i="2"/>
  <c r="BC304" i="2"/>
  <c r="BB304" i="2"/>
  <c r="BA304" i="2"/>
  <c r="AZ304" i="2"/>
  <c r="BG303" i="2"/>
  <c r="BF303" i="2"/>
  <c r="BE303" i="2"/>
  <c r="BD303" i="2"/>
  <c r="BC303" i="2"/>
  <c r="BB303" i="2"/>
  <c r="BA303" i="2"/>
  <c r="AZ303" i="2"/>
  <c r="BG302" i="2"/>
  <c r="BF302" i="2"/>
  <c r="BE302" i="2"/>
  <c r="BD302" i="2"/>
  <c r="BC302" i="2"/>
  <c r="BB302" i="2"/>
  <c r="BA302" i="2"/>
  <c r="AZ302" i="2"/>
  <c r="BG309" i="2"/>
  <c r="BF309" i="2"/>
  <c r="BE309" i="2"/>
  <c r="BD309" i="2"/>
  <c r="BC309" i="2"/>
  <c r="BB309" i="2"/>
  <c r="BA309" i="2"/>
  <c r="AZ309" i="2"/>
  <c r="BG308" i="2"/>
  <c r="BF308" i="2"/>
  <c r="BE308" i="2"/>
  <c r="BD308" i="2"/>
  <c r="BC308" i="2"/>
  <c r="BB308" i="2"/>
  <c r="BA308" i="2"/>
  <c r="AZ308" i="2"/>
  <c r="BG307" i="2"/>
  <c r="BF307" i="2"/>
  <c r="BE307" i="2"/>
  <c r="BD307" i="2"/>
  <c r="BC307" i="2"/>
  <c r="BB307" i="2"/>
  <c r="BA307" i="2"/>
  <c r="AZ307" i="2"/>
  <c r="BA312" i="2"/>
  <c r="BB312" i="2"/>
  <c r="BC312" i="2"/>
  <c r="BD312" i="2"/>
  <c r="BE312" i="2"/>
  <c r="BF312" i="2"/>
  <c r="BG312" i="2"/>
  <c r="BA313" i="2"/>
  <c r="BB313" i="2"/>
  <c r="BC313" i="2"/>
  <c r="BD313" i="2"/>
  <c r="BE313" i="2"/>
  <c r="BF313" i="2"/>
  <c r="BG313" i="2"/>
  <c r="BA314" i="2"/>
  <c r="BB314" i="2"/>
  <c r="BC314" i="2"/>
  <c r="BD314" i="2"/>
  <c r="BE314" i="2"/>
  <c r="BF314" i="2"/>
  <c r="BG314" i="2"/>
  <c r="AZ313" i="2"/>
  <c r="AZ314" i="2"/>
  <c r="AZ312" i="2"/>
  <c r="AV264" i="2"/>
  <c r="AV263" i="2"/>
  <c r="AV262" i="2"/>
  <c r="K37" i="5"/>
  <c r="K36" i="5"/>
  <c r="K35" i="5"/>
  <c r="K38" i="5" s="1"/>
  <c r="AJ312" i="2"/>
  <c r="BH312" i="2" s="1"/>
  <c r="AJ314" i="2"/>
  <c r="BH314" i="2" s="1"/>
  <c r="AJ313" i="2"/>
  <c r="BH313" i="2" s="1"/>
  <c r="AJ315" i="2"/>
  <c r="AJ308" i="2"/>
  <c r="BH308" i="2" s="1"/>
  <c r="AJ307" i="2"/>
  <c r="BH307" i="2" s="1"/>
  <c r="AJ303" i="2"/>
  <c r="BH303" i="2" s="1"/>
  <c r="AJ302" i="2"/>
  <c r="BH302" i="2" s="1"/>
  <c r="AJ309" i="2"/>
  <c r="BH309" i="2" s="1"/>
  <c r="AJ310" i="2"/>
  <c r="AJ304" i="2"/>
  <c r="BH304" i="2" s="1"/>
  <c r="AJ305" i="2"/>
  <c r="AW25" i="6"/>
  <c r="AR2" i="7"/>
  <c r="AR8" i="7"/>
  <c r="AR11" i="7"/>
  <c r="AK8" i="7"/>
  <c r="AL8" i="7"/>
  <c r="AM8" i="7"/>
  <c r="AN8" i="7"/>
  <c r="AO8" i="7"/>
  <c r="AP8" i="7"/>
  <c r="AQ8" i="7"/>
  <c r="AK9" i="7"/>
  <c r="AL9" i="7"/>
  <c r="AM9" i="7"/>
  <c r="AN9" i="7"/>
  <c r="AO9" i="7"/>
  <c r="AP9" i="7"/>
  <c r="AQ9" i="7"/>
  <c r="AR9" i="7"/>
  <c r="AK10" i="7"/>
  <c r="AL10" i="7"/>
  <c r="AM10" i="7"/>
  <c r="AN10" i="7"/>
  <c r="AO10" i="7"/>
  <c r="AP10" i="7"/>
  <c r="AQ10" i="7"/>
  <c r="AR10" i="7"/>
  <c r="AJ9" i="7"/>
  <c r="AJ10" i="7"/>
  <c r="AJ8" i="7"/>
  <c r="AJ3" i="7"/>
  <c r="L55" i="4"/>
  <c r="L54" i="4"/>
  <c r="AR3" i="7"/>
  <c r="AR5" i="7" s="1"/>
  <c r="AR4" i="7"/>
  <c r="AK2" i="7"/>
  <c r="AL2" i="7"/>
  <c r="AM2" i="7"/>
  <c r="AN2" i="7"/>
  <c r="AO2" i="7"/>
  <c r="AP2" i="7"/>
  <c r="AQ2" i="7"/>
  <c r="AK3" i="7"/>
  <c r="AL3" i="7"/>
  <c r="AM3" i="7"/>
  <c r="AN3" i="7"/>
  <c r="AO3" i="7"/>
  <c r="AP3" i="7"/>
  <c r="AQ3" i="7"/>
  <c r="AK4" i="7"/>
  <c r="AL4" i="7"/>
  <c r="AM4" i="7"/>
  <c r="AN4" i="7"/>
  <c r="AO4" i="7"/>
  <c r="AP4" i="7"/>
  <c r="AQ4" i="7"/>
  <c r="AJ4" i="7"/>
  <c r="AJ2" i="7"/>
  <c r="BU111" i="1"/>
  <c r="BT116" i="1"/>
  <c r="BU116" i="1"/>
  <c r="BU115" i="1"/>
  <c r="BU136" i="1"/>
  <c r="BU135" i="1"/>
  <c r="BU134" i="1"/>
  <c r="BU133" i="1"/>
  <c r="BU131" i="1"/>
  <c r="BU130" i="1"/>
  <c r="BU129" i="1"/>
  <c r="BU128" i="1"/>
  <c r="BU126" i="1"/>
  <c r="BU125" i="1"/>
  <c r="BU124" i="1"/>
  <c r="BU123" i="1"/>
  <c r="BU121" i="1"/>
  <c r="BU120" i="1"/>
  <c r="BU119" i="1"/>
  <c r="BU118" i="1"/>
  <c r="BU114" i="1"/>
  <c r="BU113" i="1"/>
  <c r="BU110" i="1"/>
  <c r="BU109" i="1"/>
  <c r="BU108" i="1"/>
  <c r="BU104" i="1"/>
  <c r="BU103" i="1"/>
  <c r="BU101" i="1"/>
  <c r="BU100" i="1"/>
  <c r="BU99" i="1"/>
  <c r="BU98" i="1"/>
  <c r="BU96" i="1"/>
  <c r="BU95" i="1"/>
  <c r="BU94" i="1"/>
  <c r="BU93" i="1"/>
  <c r="BN95" i="1"/>
  <c r="BU81" i="1"/>
  <c r="BU80" i="1"/>
  <c r="BU79" i="1"/>
  <c r="BU78" i="1"/>
  <c r="BU76" i="1"/>
  <c r="BU75" i="1"/>
  <c r="BU74" i="1"/>
  <c r="BU73" i="1"/>
  <c r="BU71" i="1"/>
  <c r="BU70" i="1"/>
  <c r="BU69" i="1"/>
  <c r="BU68" i="1"/>
  <c r="BQ58" i="1"/>
  <c r="BU56" i="1"/>
  <c r="BU55" i="1"/>
  <c r="BU54" i="1"/>
  <c r="BU53" i="1"/>
  <c r="BU51" i="1"/>
  <c r="BU50" i="1"/>
  <c r="BU49" i="1"/>
  <c r="BU48" i="1"/>
  <c r="BU46" i="1"/>
  <c r="BU45" i="1"/>
  <c r="BU44" i="1"/>
  <c r="BU43" i="1"/>
  <c r="BU41" i="1"/>
  <c r="BU40" i="1"/>
  <c r="BU39" i="1"/>
  <c r="BU38" i="1"/>
  <c r="BU36" i="1"/>
  <c r="BU35" i="1"/>
  <c r="BU34" i="1"/>
  <c r="BU33" i="1"/>
  <c r="BU31" i="1"/>
  <c r="BU30" i="1"/>
  <c r="BU29" i="1"/>
  <c r="BU28" i="1"/>
  <c r="BU26" i="1"/>
  <c r="BU25" i="1"/>
  <c r="BU24" i="1"/>
  <c r="BU23" i="1"/>
  <c r="BU21" i="1"/>
  <c r="BU20" i="1"/>
  <c r="BU19" i="1"/>
  <c r="BU18" i="1"/>
  <c r="BU16" i="1"/>
  <c r="BU15" i="1"/>
  <c r="BU14" i="1"/>
  <c r="BU13" i="1"/>
  <c r="BU10" i="1"/>
  <c r="BU9" i="1"/>
  <c r="BU4" i="1"/>
  <c r="BU5" i="1"/>
  <c r="BU6" i="1"/>
  <c r="BU3" i="1"/>
  <c r="BT48" i="1"/>
  <c r="BS73" i="1"/>
  <c r="BT133" i="1"/>
  <c r="BL133" i="1"/>
  <c r="BS135" i="1"/>
  <c r="BR135" i="1"/>
  <c r="BQ135" i="1"/>
  <c r="BP135" i="1"/>
  <c r="BO135" i="1"/>
  <c r="BN135" i="1"/>
  <c r="BM135" i="1"/>
  <c r="BL135" i="1"/>
  <c r="BT135" i="1" s="1"/>
  <c r="BS134" i="1"/>
  <c r="BR134" i="1"/>
  <c r="BQ134" i="1"/>
  <c r="BP134" i="1"/>
  <c r="BO134" i="1"/>
  <c r="BN134" i="1"/>
  <c r="BM134" i="1"/>
  <c r="BL134" i="1"/>
  <c r="BT134" i="1" s="1"/>
  <c r="BS133" i="1"/>
  <c r="BR133" i="1"/>
  <c r="BQ133" i="1"/>
  <c r="BP133" i="1"/>
  <c r="BO133" i="1"/>
  <c r="BN133" i="1"/>
  <c r="BM133" i="1"/>
  <c r="BT136" i="1"/>
  <c r="BS130" i="1"/>
  <c r="BR130" i="1"/>
  <c r="BQ130" i="1"/>
  <c r="BP130" i="1"/>
  <c r="BO130" i="1"/>
  <c r="BN130" i="1"/>
  <c r="BM130" i="1"/>
  <c r="BL130" i="1"/>
  <c r="BT130" i="1" s="1"/>
  <c r="BS129" i="1"/>
  <c r="BR129" i="1"/>
  <c r="BQ129" i="1"/>
  <c r="BP129" i="1"/>
  <c r="BO129" i="1"/>
  <c r="BN129" i="1"/>
  <c r="BM129" i="1"/>
  <c r="BL129" i="1"/>
  <c r="BT129" i="1" s="1"/>
  <c r="BS128" i="1"/>
  <c r="BR128" i="1"/>
  <c r="BQ128" i="1"/>
  <c r="BP128" i="1"/>
  <c r="BO128" i="1"/>
  <c r="BN128" i="1"/>
  <c r="BM128" i="1"/>
  <c r="BL128" i="1"/>
  <c r="BT128" i="1" s="1"/>
  <c r="BT131" i="1" s="1"/>
  <c r="BS125" i="1"/>
  <c r="BR125" i="1"/>
  <c r="BQ125" i="1"/>
  <c r="BP125" i="1"/>
  <c r="BO125" i="1"/>
  <c r="BN125" i="1"/>
  <c r="BM125" i="1"/>
  <c r="BL125" i="1"/>
  <c r="BT125" i="1" s="1"/>
  <c r="BS124" i="1"/>
  <c r="BR124" i="1"/>
  <c r="BQ124" i="1"/>
  <c r="BP124" i="1"/>
  <c r="BO124" i="1"/>
  <c r="BN124" i="1"/>
  <c r="BM124" i="1"/>
  <c r="BL124" i="1"/>
  <c r="BT124" i="1" s="1"/>
  <c r="BS123" i="1"/>
  <c r="BR123" i="1"/>
  <c r="BQ123" i="1"/>
  <c r="BP123" i="1"/>
  <c r="BO123" i="1"/>
  <c r="BN123" i="1"/>
  <c r="BM123" i="1"/>
  <c r="BL123" i="1"/>
  <c r="BT123" i="1" s="1"/>
  <c r="BT126" i="1" s="1"/>
  <c r="BS120" i="1"/>
  <c r="BR120" i="1"/>
  <c r="BQ120" i="1"/>
  <c r="BP120" i="1"/>
  <c r="BO120" i="1"/>
  <c r="BN120" i="1"/>
  <c r="BM120" i="1"/>
  <c r="BL120" i="1"/>
  <c r="BT120" i="1" s="1"/>
  <c r="BS119" i="1"/>
  <c r="BR119" i="1"/>
  <c r="BQ119" i="1"/>
  <c r="BP119" i="1"/>
  <c r="BO119" i="1"/>
  <c r="BN119" i="1"/>
  <c r="BM119" i="1"/>
  <c r="BL119" i="1"/>
  <c r="BT119" i="1" s="1"/>
  <c r="BS118" i="1"/>
  <c r="BR118" i="1"/>
  <c r="BQ118" i="1"/>
  <c r="BP118" i="1"/>
  <c r="BO118" i="1"/>
  <c r="BN118" i="1"/>
  <c r="BM118" i="1"/>
  <c r="BL118" i="1"/>
  <c r="BT118" i="1" s="1"/>
  <c r="BT121" i="1" s="1"/>
  <c r="BS115" i="1"/>
  <c r="BR115" i="1"/>
  <c r="BQ115" i="1"/>
  <c r="BP115" i="1"/>
  <c r="BO115" i="1"/>
  <c r="BN115" i="1"/>
  <c r="BM115" i="1"/>
  <c r="BL115" i="1"/>
  <c r="BT115" i="1" s="1"/>
  <c r="BS114" i="1"/>
  <c r="BR114" i="1"/>
  <c r="BQ114" i="1"/>
  <c r="BP114" i="1"/>
  <c r="BO114" i="1"/>
  <c r="BN114" i="1"/>
  <c r="BM114" i="1"/>
  <c r="BL114" i="1"/>
  <c r="BT114" i="1" s="1"/>
  <c r="BS113" i="1"/>
  <c r="BR113" i="1"/>
  <c r="BQ113" i="1"/>
  <c r="BP113" i="1"/>
  <c r="BO113" i="1"/>
  <c r="BN113" i="1"/>
  <c r="BM113" i="1"/>
  <c r="BL113" i="1"/>
  <c r="BT113" i="1" s="1"/>
  <c r="BS110" i="1"/>
  <c r="BR110" i="1"/>
  <c r="BQ110" i="1"/>
  <c r="BP110" i="1"/>
  <c r="BO110" i="1"/>
  <c r="BN110" i="1"/>
  <c r="BM110" i="1"/>
  <c r="BL110" i="1"/>
  <c r="BT110" i="1" s="1"/>
  <c r="BS109" i="1"/>
  <c r="BR109" i="1"/>
  <c r="BQ109" i="1"/>
  <c r="BP109" i="1"/>
  <c r="BO109" i="1"/>
  <c r="BN109" i="1"/>
  <c r="BM109" i="1"/>
  <c r="BL109" i="1"/>
  <c r="BT109" i="1" s="1"/>
  <c r="BS108" i="1"/>
  <c r="BR108" i="1"/>
  <c r="BQ108" i="1"/>
  <c r="BP108" i="1"/>
  <c r="BO108" i="1"/>
  <c r="BN108" i="1"/>
  <c r="BM108" i="1"/>
  <c r="BL108" i="1"/>
  <c r="BT108" i="1" s="1"/>
  <c r="BT111" i="1" s="1"/>
  <c r="BS105" i="1"/>
  <c r="BR105" i="1"/>
  <c r="BQ105" i="1"/>
  <c r="BP105" i="1"/>
  <c r="BO105" i="1"/>
  <c r="BN105" i="1"/>
  <c r="BM105" i="1"/>
  <c r="BL105" i="1"/>
  <c r="BT105" i="1" s="1"/>
  <c r="BS104" i="1"/>
  <c r="BR104" i="1"/>
  <c r="BQ104" i="1"/>
  <c r="BP104" i="1"/>
  <c r="BO104" i="1"/>
  <c r="BN104" i="1"/>
  <c r="BM104" i="1"/>
  <c r="BL104" i="1"/>
  <c r="BT104" i="1" s="1"/>
  <c r="BS103" i="1"/>
  <c r="BR103" i="1"/>
  <c r="BQ103" i="1"/>
  <c r="BP103" i="1"/>
  <c r="BO103" i="1"/>
  <c r="BN103" i="1"/>
  <c r="BM103" i="1"/>
  <c r="BL103" i="1"/>
  <c r="BT103" i="1" s="1"/>
  <c r="BT106" i="1" s="1"/>
  <c r="BS100" i="1"/>
  <c r="BR100" i="1"/>
  <c r="BQ100" i="1"/>
  <c r="BP100" i="1"/>
  <c r="BO100" i="1"/>
  <c r="BN100" i="1"/>
  <c r="BM100" i="1"/>
  <c r="BL100" i="1"/>
  <c r="BT100" i="1" s="1"/>
  <c r="BS99" i="1"/>
  <c r="BR99" i="1"/>
  <c r="BQ99" i="1"/>
  <c r="BP99" i="1"/>
  <c r="BO99" i="1"/>
  <c r="BN99" i="1"/>
  <c r="BM99" i="1"/>
  <c r="BL99" i="1"/>
  <c r="BT99" i="1" s="1"/>
  <c r="BS98" i="1"/>
  <c r="BR98" i="1"/>
  <c r="BQ98" i="1"/>
  <c r="BP98" i="1"/>
  <c r="BO98" i="1"/>
  <c r="BN98" i="1"/>
  <c r="BM98" i="1"/>
  <c r="BL98" i="1"/>
  <c r="BT98" i="1" s="1"/>
  <c r="BT101" i="1" s="1"/>
  <c r="BS95" i="1"/>
  <c r="BR95" i="1"/>
  <c r="BQ95" i="1"/>
  <c r="BP95" i="1"/>
  <c r="BO95" i="1"/>
  <c r="BM95" i="1"/>
  <c r="BL95" i="1"/>
  <c r="BT95" i="1" s="1"/>
  <c r="BS94" i="1"/>
  <c r="BR94" i="1"/>
  <c r="BQ94" i="1"/>
  <c r="BP94" i="1"/>
  <c r="BO94" i="1"/>
  <c r="BN94" i="1"/>
  <c r="BM94" i="1"/>
  <c r="BL94" i="1"/>
  <c r="BT94" i="1" s="1"/>
  <c r="BS93" i="1"/>
  <c r="BR93" i="1"/>
  <c r="BQ93" i="1"/>
  <c r="BP93" i="1"/>
  <c r="BO93" i="1"/>
  <c r="BN93" i="1"/>
  <c r="BM93" i="1"/>
  <c r="BL93" i="1"/>
  <c r="BT93" i="1" s="1"/>
  <c r="BT96" i="1" s="1"/>
  <c r="D113" i="7"/>
  <c r="D95" i="7"/>
  <c r="D65" i="7"/>
  <c r="D118" i="7" s="1"/>
  <c r="AZ192" i="2"/>
  <c r="BA192" i="2"/>
  <c r="BB192" i="2"/>
  <c r="BC192" i="2"/>
  <c r="BD192" i="2"/>
  <c r="BE192" i="2"/>
  <c r="BF192" i="2"/>
  <c r="BG192" i="2"/>
  <c r="BH192" i="2"/>
  <c r="AZ193" i="2"/>
  <c r="BA193" i="2"/>
  <c r="BB193" i="2"/>
  <c r="BC193" i="2"/>
  <c r="BD193" i="2"/>
  <c r="BE193" i="2"/>
  <c r="BF193" i="2"/>
  <c r="BG193" i="2"/>
  <c r="BH193" i="2"/>
  <c r="BH195" i="2"/>
  <c r="X20" i="4"/>
  <c r="W15" i="4"/>
  <c r="W72" i="4"/>
  <c r="X72" i="4"/>
  <c r="Y72" i="4"/>
  <c r="Y73" i="4"/>
  <c r="X73" i="4"/>
  <c r="W73" i="4"/>
  <c r="AJ10" i="1"/>
  <c r="AJ9" i="1"/>
  <c r="AJ8" i="1"/>
  <c r="AJ5" i="1"/>
  <c r="AJ4" i="1"/>
  <c r="AJ3" i="1"/>
  <c r="AJ6" i="1" s="1"/>
  <c r="CP6" i="6" a="1"/>
  <c r="CP6" i="6" s="1"/>
  <c r="W60" i="4"/>
  <c r="X60" i="4"/>
  <c r="Y60" i="4"/>
  <c r="W61" i="4"/>
  <c r="X61" i="4"/>
  <c r="Y61" i="4"/>
  <c r="W62" i="4"/>
  <c r="X62" i="4"/>
  <c r="Y62" i="4"/>
  <c r="W63" i="4"/>
  <c r="X63" i="4"/>
  <c r="Y63" i="4"/>
  <c r="Z63" i="4"/>
  <c r="W64" i="4"/>
  <c r="X64" i="4"/>
  <c r="Y64" i="4"/>
  <c r="Z64" i="4"/>
  <c r="W65" i="4"/>
  <c r="X65" i="4"/>
  <c r="Y65" i="4"/>
  <c r="Z65" i="4"/>
  <c r="G59" i="4"/>
  <c r="G60" i="4"/>
  <c r="Z60" i="4" s="1"/>
  <c r="G61" i="4"/>
  <c r="Z61" i="4" s="1"/>
  <c r="G62" i="4"/>
  <c r="Z62" i="4" s="1"/>
  <c r="W54" i="4"/>
  <c r="W55" i="4"/>
  <c r="W56" i="4"/>
  <c r="W57" i="4"/>
  <c r="W58" i="4"/>
  <c r="W59" i="4"/>
  <c r="AJ299" i="2"/>
  <c r="BH299" i="2" s="1"/>
  <c r="AJ298" i="2"/>
  <c r="BH298" i="2" s="1"/>
  <c r="AJ297" i="2"/>
  <c r="AJ294" i="2"/>
  <c r="BH294" i="2" s="1"/>
  <c r="AJ293" i="2"/>
  <c r="BH293" i="2" s="1"/>
  <c r="AJ292" i="2"/>
  <c r="AJ289" i="2"/>
  <c r="BH289" i="2" s="1"/>
  <c r="AJ288" i="2"/>
  <c r="BH288" i="2" s="1"/>
  <c r="AJ287" i="2"/>
  <c r="X80" i="1"/>
  <c r="X79" i="1"/>
  <c r="X78" i="1"/>
  <c r="X81" i="1" s="1"/>
  <c r="X75" i="1"/>
  <c r="X74" i="1"/>
  <c r="X73" i="1"/>
  <c r="X76" i="1" s="1"/>
  <c r="X70" i="1"/>
  <c r="X69" i="1"/>
  <c r="X68" i="1"/>
  <c r="X71" i="1" s="1"/>
  <c r="X65" i="1"/>
  <c r="X64" i="1"/>
  <c r="X63" i="1"/>
  <c r="Q110" i="6"/>
  <c r="R110" i="6"/>
  <c r="S110" i="6"/>
  <c r="T110" i="6"/>
  <c r="U110" i="6"/>
  <c r="V110" i="6"/>
  <c r="W110" i="6"/>
  <c r="X110" i="6"/>
  <c r="Q115" i="6"/>
  <c r="R115" i="6"/>
  <c r="S115" i="6"/>
  <c r="T115" i="6"/>
  <c r="U115" i="6"/>
  <c r="V115" i="6"/>
  <c r="W115" i="6"/>
  <c r="X115" i="6"/>
  <c r="Q120" i="6"/>
  <c r="R120" i="6"/>
  <c r="S120" i="6"/>
  <c r="T120" i="6"/>
  <c r="U120" i="6"/>
  <c r="V120" i="6"/>
  <c r="W120" i="6"/>
  <c r="Q125" i="6"/>
  <c r="R125" i="6"/>
  <c r="S125" i="6"/>
  <c r="T125" i="6"/>
  <c r="U125" i="6"/>
  <c r="V125" i="6"/>
  <c r="W125" i="6"/>
  <c r="Q130" i="6"/>
  <c r="R130" i="6"/>
  <c r="S130" i="6"/>
  <c r="T130" i="6"/>
  <c r="U130" i="6"/>
  <c r="V130" i="6"/>
  <c r="W130" i="6"/>
  <c r="Q135" i="6"/>
  <c r="R135" i="6"/>
  <c r="S135" i="6"/>
  <c r="T135" i="6"/>
  <c r="U135" i="6"/>
  <c r="V135" i="6"/>
  <c r="W135" i="6"/>
  <c r="X135" i="6"/>
  <c r="Q140" i="6"/>
  <c r="R140" i="6"/>
  <c r="S140" i="6"/>
  <c r="T140" i="6"/>
  <c r="U140" i="6"/>
  <c r="V140" i="6"/>
  <c r="W140" i="6"/>
  <c r="X140" i="6"/>
  <c r="Q143" i="6"/>
  <c r="R143" i="6"/>
  <c r="S143" i="6"/>
  <c r="T143" i="6"/>
  <c r="U143" i="6"/>
  <c r="V143" i="6"/>
  <c r="W143" i="6"/>
  <c r="X143" i="6"/>
  <c r="Y143" i="6"/>
  <c r="Q144" i="6"/>
  <c r="R144" i="6"/>
  <c r="S144" i="6"/>
  <c r="T144" i="6"/>
  <c r="U144" i="6"/>
  <c r="V144" i="6"/>
  <c r="W144" i="6"/>
  <c r="X144" i="6"/>
  <c r="Y144" i="6"/>
  <c r="Q145" i="6"/>
  <c r="R145" i="6"/>
  <c r="S145" i="6"/>
  <c r="T145" i="6"/>
  <c r="U145" i="6"/>
  <c r="V145" i="6"/>
  <c r="W145" i="6"/>
  <c r="X145" i="6"/>
  <c r="Y145" i="6"/>
  <c r="Y146" i="6"/>
  <c r="Q150" i="6"/>
  <c r="R150" i="6"/>
  <c r="S150" i="6"/>
  <c r="T150" i="6"/>
  <c r="U150" i="6"/>
  <c r="V150" i="6"/>
  <c r="W150" i="6"/>
  <c r="X150" i="6"/>
  <c r="Q155" i="6"/>
  <c r="R155" i="6"/>
  <c r="S155" i="6"/>
  <c r="T155" i="6"/>
  <c r="U155" i="6"/>
  <c r="V155" i="6"/>
  <c r="W155" i="6"/>
  <c r="X155" i="6"/>
  <c r="Q160" i="6"/>
  <c r="R160" i="6"/>
  <c r="S160" i="6"/>
  <c r="T160" i="6"/>
  <c r="U160" i="6"/>
  <c r="V160" i="6"/>
  <c r="W160" i="6"/>
  <c r="X160" i="6"/>
  <c r="Y166" i="6"/>
  <c r="Y171" i="6"/>
  <c r="Y176" i="6"/>
  <c r="Y181" i="6"/>
  <c r="Y186" i="6"/>
  <c r="Y191" i="6"/>
  <c r="R60" i="6"/>
  <c r="S60" i="6"/>
  <c r="T60" i="6"/>
  <c r="U60" i="6"/>
  <c r="V60" i="6"/>
  <c r="W60" i="6"/>
  <c r="X60" i="6"/>
  <c r="Q65" i="6"/>
  <c r="R65" i="6"/>
  <c r="S65" i="6"/>
  <c r="T65" i="6"/>
  <c r="U65" i="6"/>
  <c r="V65" i="6"/>
  <c r="W65" i="6"/>
  <c r="X65" i="6"/>
  <c r="Q70" i="6"/>
  <c r="R70" i="6"/>
  <c r="S70" i="6"/>
  <c r="T70" i="6"/>
  <c r="U70" i="6"/>
  <c r="V70" i="6"/>
  <c r="W70" i="6"/>
  <c r="X70" i="6"/>
  <c r="Q75" i="6"/>
  <c r="R75" i="6"/>
  <c r="S75" i="6"/>
  <c r="T75" i="6"/>
  <c r="U75" i="6"/>
  <c r="V75" i="6"/>
  <c r="W75" i="6"/>
  <c r="X75" i="6"/>
  <c r="Q80" i="6"/>
  <c r="R80" i="6"/>
  <c r="S80" i="6"/>
  <c r="T80" i="6"/>
  <c r="U80" i="6"/>
  <c r="V80" i="6"/>
  <c r="W80" i="6"/>
  <c r="X80" i="6"/>
  <c r="Q85" i="6"/>
  <c r="R85" i="6"/>
  <c r="S85" i="6"/>
  <c r="T85" i="6"/>
  <c r="U85" i="6"/>
  <c r="V85" i="6"/>
  <c r="W85" i="6"/>
  <c r="X85" i="6"/>
  <c r="Q90" i="6"/>
  <c r="R90" i="6"/>
  <c r="S90" i="6"/>
  <c r="T90" i="6"/>
  <c r="U90" i="6"/>
  <c r="V90" i="6"/>
  <c r="W90" i="6"/>
  <c r="X90" i="6"/>
  <c r="Q95" i="6"/>
  <c r="R95" i="6"/>
  <c r="S95" i="6"/>
  <c r="T95" i="6"/>
  <c r="U95" i="6"/>
  <c r="V95" i="6"/>
  <c r="W95" i="6"/>
  <c r="X95" i="6"/>
  <c r="Q100" i="6"/>
  <c r="R100" i="6"/>
  <c r="S100" i="6"/>
  <c r="T100" i="6"/>
  <c r="U100" i="6"/>
  <c r="V100" i="6"/>
  <c r="W100" i="6"/>
  <c r="X100" i="6"/>
  <c r="Q105" i="6"/>
  <c r="R105" i="6"/>
  <c r="S105" i="6"/>
  <c r="T105" i="6"/>
  <c r="U105" i="6"/>
  <c r="V105" i="6"/>
  <c r="W105" i="6"/>
  <c r="X105" i="6"/>
  <c r="Q53" i="6"/>
  <c r="AZ132" i="2"/>
  <c r="BA132" i="2"/>
  <c r="BB132" i="2"/>
  <c r="BC132" i="2"/>
  <c r="BD132" i="2"/>
  <c r="BE132" i="2"/>
  <c r="BF132" i="2"/>
  <c r="BG132" i="2"/>
  <c r="BH132" i="2"/>
  <c r="AZ133" i="2"/>
  <c r="BA133" i="2"/>
  <c r="BB133" i="2"/>
  <c r="BC133" i="2"/>
  <c r="BD133" i="2"/>
  <c r="BE133" i="2"/>
  <c r="BF133" i="2"/>
  <c r="BG133" i="2"/>
  <c r="BH133" i="2"/>
  <c r="AZ134" i="2"/>
  <c r="BA134" i="2"/>
  <c r="BB134" i="2"/>
  <c r="BC134" i="2"/>
  <c r="BD134" i="2"/>
  <c r="BE134" i="2"/>
  <c r="BF134" i="2"/>
  <c r="BG134" i="2"/>
  <c r="BH134" i="2"/>
  <c r="BH135" i="2"/>
  <c r="BA182" i="2"/>
  <c r="BB182" i="2"/>
  <c r="BC182" i="2"/>
  <c r="BD182" i="2"/>
  <c r="BE182" i="2"/>
  <c r="BF182" i="2"/>
  <c r="BG182" i="2"/>
  <c r="BH182" i="2"/>
  <c r="AZ183" i="2"/>
  <c r="BA183" i="2"/>
  <c r="BB183" i="2"/>
  <c r="BC183" i="2"/>
  <c r="BD183" i="2"/>
  <c r="BE183" i="2"/>
  <c r="BF183" i="2"/>
  <c r="BG183" i="2"/>
  <c r="BH183" i="2"/>
  <c r="BH185" i="2"/>
  <c r="W39" i="6"/>
  <c r="AI44" i="6" s="1"/>
  <c r="BC25" i="6"/>
  <c r="BD25" i="6"/>
  <c r="BE25" i="6"/>
  <c r="BF25" i="6"/>
  <c r="BG25" i="6"/>
  <c r="R53" i="6"/>
  <c r="AI59" i="6" s="1"/>
  <c r="S53" i="6"/>
  <c r="AI58" i="6" s="1"/>
  <c r="AK61" i="6" s="1"/>
  <c r="AL61" i="6" s="1"/>
  <c r="T53" i="6"/>
  <c r="AI53" i="6" s="1"/>
  <c r="U53" i="6"/>
  <c r="V53" i="6"/>
  <c r="W53" i="6"/>
  <c r="AI55" i="6" s="1"/>
  <c r="AK59" i="6" s="1"/>
  <c r="AL59" i="6" s="1"/>
  <c r="X53" i="6"/>
  <c r="R54" i="6"/>
  <c r="AI60" i="6" s="1"/>
  <c r="S54" i="6"/>
  <c r="T54" i="6"/>
  <c r="U54" i="6"/>
  <c r="AI56" i="6" s="1"/>
  <c r="V54" i="6"/>
  <c r="W54" i="6"/>
  <c r="X54" i="6"/>
  <c r="Y54" i="6"/>
  <c r="R55" i="6"/>
  <c r="S55" i="6"/>
  <c r="T55" i="6"/>
  <c r="U55" i="6"/>
  <c r="V55" i="6"/>
  <c r="W55" i="6"/>
  <c r="X55" i="6"/>
  <c r="Y55" i="6"/>
  <c r="Q54" i="6"/>
  <c r="Q55" i="6"/>
  <c r="R48" i="6"/>
  <c r="AC57" i="6" s="1"/>
  <c r="S48" i="6"/>
  <c r="AC62" i="6" s="1"/>
  <c r="AE55" i="6" s="1"/>
  <c r="AF55" i="6" s="1"/>
  <c r="T48" i="6"/>
  <c r="U48" i="6"/>
  <c r="AC64" i="6" s="1"/>
  <c r="V48" i="6"/>
  <c r="AC58" i="6" s="1"/>
  <c r="W48" i="6"/>
  <c r="AC67" i="6" s="1"/>
  <c r="X48" i="6"/>
  <c r="R49" i="6"/>
  <c r="AC59" i="6" s="1"/>
  <c r="S49" i="6"/>
  <c r="T49" i="6"/>
  <c r="U49" i="6"/>
  <c r="AC65" i="6" s="1"/>
  <c r="V49" i="6"/>
  <c r="AC63" i="6" s="1"/>
  <c r="W49" i="6"/>
  <c r="X49" i="6"/>
  <c r="Y49" i="6"/>
  <c r="R50" i="6"/>
  <c r="S50" i="6"/>
  <c r="T50" i="6"/>
  <c r="U50" i="6"/>
  <c r="AC66" i="6" s="1"/>
  <c r="V50" i="6"/>
  <c r="W50" i="6"/>
  <c r="X50" i="6"/>
  <c r="Y50" i="6"/>
  <c r="Q49" i="6"/>
  <c r="AC56" i="6" s="1"/>
  <c r="AE54" i="6" s="1"/>
  <c r="AF54" i="6" s="1"/>
  <c r="Q50" i="6"/>
  <c r="Q48" i="6"/>
  <c r="AC53" i="6" s="1"/>
  <c r="R43" i="6"/>
  <c r="S43" i="6"/>
  <c r="T43" i="6"/>
  <c r="U43" i="6"/>
  <c r="AO43" i="6" s="1"/>
  <c r="V43" i="6"/>
  <c r="AO44" i="6" s="1"/>
  <c r="W43" i="6"/>
  <c r="X43" i="6"/>
  <c r="Y43" i="6"/>
  <c r="R44" i="6"/>
  <c r="AO40" i="6" s="1"/>
  <c r="S44" i="6"/>
  <c r="T44" i="6"/>
  <c r="U44" i="6"/>
  <c r="V44" i="6"/>
  <c r="W44" i="6"/>
  <c r="AO45" i="6" s="1"/>
  <c r="X44" i="6"/>
  <c r="Y44" i="6"/>
  <c r="R45" i="6"/>
  <c r="S45" i="6"/>
  <c r="T45" i="6"/>
  <c r="U45" i="6"/>
  <c r="AO47" i="6" s="1"/>
  <c r="V45" i="6"/>
  <c r="W45" i="6"/>
  <c r="X45" i="6"/>
  <c r="Y45" i="6"/>
  <c r="Q44" i="6"/>
  <c r="Q45" i="6"/>
  <c r="AO46" i="6" s="1"/>
  <c r="Q43" i="6"/>
  <c r="R38" i="6"/>
  <c r="AI33" i="6" s="1"/>
  <c r="S38" i="6"/>
  <c r="T38" i="6"/>
  <c r="U38" i="6"/>
  <c r="AI38" i="6" s="1"/>
  <c r="V38" i="6"/>
  <c r="AI42" i="6" s="1"/>
  <c r="W38" i="6"/>
  <c r="X38" i="6"/>
  <c r="Y38" i="6"/>
  <c r="R39" i="6"/>
  <c r="S39" i="6"/>
  <c r="T39" i="6"/>
  <c r="U39" i="6"/>
  <c r="V39" i="6"/>
  <c r="AI43" i="6" s="1"/>
  <c r="X39" i="6"/>
  <c r="Y39" i="6"/>
  <c r="R40" i="6"/>
  <c r="S40" i="6"/>
  <c r="T40" i="6"/>
  <c r="U40" i="6"/>
  <c r="AI41" i="6" s="1"/>
  <c r="V40" i="6"/>
  <c r="W40" i="6"/>
  <c r="X40" i="6"/>
  <c r="Y40" i="6"/>
  <c r="Q39" i="6"/>
  <c r="AI48" i="6" s="1"/>
  <c r="Q40" i="6"/>
  <c r="AI47" i="6" s="1"/>
  <c r="Q38" i="6"/>
  <c r="R33" i="6"/>
  <c r="S33" i="6"/>
  <c r="AC35" i="6" s="1"/>
  <c r="T33" i="6"/>
  <c r="U33" i="6"/>
  <c r="AC33" i="6" s="1"/>
  <c r="V33" i="6"/>
  <c r="AC41" i="6" s="1"/>
  <c r="W33" i="6"/>
  <c r="X33" i="6"/>
  <c r="Y33" i="6"/>
  <c r="R34" i="6"/>
  <c r="S34" i="6"/>
  <c r="T34" i="6"/>
  <c r="U34" i="6"/>
  <c r="AC37" i="6" s="1"/>
  <c r="V34" i="6"/>
  <c r="W34" i="6"/>
  <c r="X34" i="6"/>
  <c r="Y34" i="6"/>
  <c r="R35" i="6"/>
  <c r="S35" i="6"/>
  <c r="T35" i="6"/>
  <c r="U35" i="6"/>
  <c r="AC39" i="6" s="1"/>
  <c r="AE35" i="6" s="1"/>
  <c r="AF35" i="6" s="1"/>
  <c r="V35" i="6"/>
  <c r="W35" i="6"/>
  <c r="X35" i="6"/>
  <c r="Y35" i="6"/>
  <c r="Q34" i="6"/>
  <c r="AC38" i="6" s="1"/>
  <c r="AE36" i="6" s="1"/>
  <c r="AF36" i="6" s="1"/>
  <c r="Q35" i="6"/>
  <c r="AC40" i="6" s="1"/>
  <c r="Q33" i="6"/>
  <c r="R28" i="6"/>
  <c r="AO23" i="6" s="1"/>
  <c r="AQ22" i="6" s="1"/>
  <c r="AR22" i="6" s="1"/>
  <c r="BB17" i="6" s="1"/>
  <c r="S28" i="6"/>
  <c r="T28" i="6"/>
  <c r="AO25" i="6" s="1"/>
  <c r="U28" i="6"/>
  <c r="V28" i="6"/>
  <c r="W28" i="6"/>
  <c r="X28" i="6"/>
  <c r="Y28" i="6"/>
  <c r="R29" i="6"/>
  <c r="AO24" i="6" s="1"/>
  <c r="S29" i="6"/>
  <c r="T29" i="6"/>
  <c r="U29" i="6"/>
  <c r="V29" i="6"/>
  <c r="W29" i="6"/>
  <c r="X29" i="6"/>
  <c r="Y29" i="6"/>
  <c r="R30" i="6"/>
  <c r="S30" i="6"/>
  <c r="T30" i="6"/>
  <c r="U30" i="6"/>
  <c r="V30" i="6"/>
  <c r="W30" i="6"/>
  <c r="X30" i="6"/>
  <c r="Y30" i="6"/>
  <c r="Q29" i="6"/>
  <c r="AO21" i="6" s="1"/>
  <c r="AQ19" i="6" s="1"/>
  <c r="AR19" i="6" s="1"/>
  <c r="BB7" i="6" s="1"/>
  <c r="Q30" i="6"/>
  <c r="AO22" i="6" s="1"/>
  <c r="AQ20" i="6" s="1"/>
  <c r="AR20" i="6" s="1"/>
  <c r="BB12" i="6" s="1"/>
  <c r="Q28" i="6"/>
  <c r="R23" i="6"/>
  <c r="AI23" i="6" s="1"/>
  <c r="S23" i="6"/>
  <c r="T23" i="6"/>
  <c r="AI28" i="6" s="1"/>
  <c r="U23" i="6"/>
  <c r="AI25" i="6" s="1"/>
  <c r="V23" i="6"/>
  <c r="W23" i="6"/>
  <c r="X23" i="6"/>
  <c r="Y23" i="6"/>
  <c r="R24" i="6"/>
  <c r="AI24" i="6" s="1"/>
  <c r="S24" i="6"/>
  <c r="T24" i="6"/>
  <c r="AI29" i="6" s="1"/>
  <c r="AK21" i="6" s="1"/>
  <c r="AL21" i="6" s="1"/>
  <c r="BA6" i="6" s="1"/>
  <c r="U24" i="6"/>
  <c r="AI26" i="6" s="1"/>
  <c r="AK22" i="6" s="1"/>
  <c r="AL22" i="6" s="1"/>
  <c r="BA17" i="6" s="1"/>
  <c r="V24" i="6"/>
  <c r="W24" i="6"/>
  <c r="X24" i="6"/>
  <c r="Y24" i="6"/>
  <c r="R25" i="6"/>
  <c r="S25" i="6"/>
  <c r="T25" i="6"/>
  <c r="U25" i="6"/>
  <c r="AI27" i="6" s="1"/>
  <c r="AK24" i="6" s="1"/>
  <c r="AL24" i="6" s="1"/>
  <c r="BA21" i="6" s="1"/>
  <c r="V25" i="6"/>
  <c r="W25" i="6"/>
  <c r="X25" i="6"/>
  <c r="Y25" i="6"/>
  <c r="Q24" i="6"/>
  <c r="AI21" i="6" s="1"/>
  <c r="Q25" i="6"/>
  <c r="AI22" i="6" s="1"/>
  <c r="Q23" i="6"/>
  <c r="R18" i="6"/>
  <c r="AC23" i="6" s="1"/>
  <c r="S18" i="6"/>
  <c r="T18" i="6"/>
  <c r="U18" i="6"/>
  <c r="AC25" i="6" s="1"/>
  <c r="V18" i="6"/>
  <c r="W18" i="6"/>
  <c r="X18" i="6"/>
  <c r="Y18" i="6"/>
  <c r="R19" i="6"/>
  <c r="AC24" i="6" s="1"/>
  <c r="S19" i="6"/>
  <c r="T19" i="6"/>
  <c r="U19" i="6"/>
  <c r="AC26" i="6" s="1"/>
  <c r="V19" i="6"/>
  <c r="W19" i="6"/>
  <c r="X19" i="6"/>
  <c r="Y19" i="6"/>
  <c r="R20" i="6"/>
  <c r="S20" i="6"/>
  <c r="T20" i="6"/>
  <c r="U20" i="6"/>
  <c r="V20" i="6"/>
  <c r="W20" i="6"/>
  <c r="X20" i="6"/>
  <c r="Y20" i="6"/>
  <c r="Q19" i="6"/>
  <c r="AC21" i="6" s="1"/>
  <c r="Q20" i="6"/>
  <c r="AC22" i="6" s="1"/>
  <c r="Q18" i="6"/>
  <c r="R13" i="6"/>
  <c r="AO6" i="6" s="1"/>
  <c r="S13" i="6"/>
  <c r="T13" i="6"/>
  <c r="AO7" i="6" s="1"/>
  <c r="U13" i="6"/>
  <c r="AO8" i="6" s="1"/>
  <c r="AQ4" i="6" s="1"/>
  <c r="AR4" i="6" s="1"/>
  <c r="AY10" i="6" s="1"/>
  <c r="V13" i="6"/>
  <c r="W13" i="6"/>
  <c r="X13" i="6"/>
  <c r="Y13" i="6"/>
  <c r="R14" i="6"/>
  <c r="S14" i="6"/>
  <c r="T14" i="6"/>
  <c r="U14" i="6"/>
  <c r="AO12" i="6" s="1"/>
  <c r="V14" i="6"/>
  <c r="W14" i="6"/>
  <c r="X14" i="6"/>
  <c r="Y14" i="6"/>
  <c r="R15" i="6"/>
  <c r="S15" i="6"/>
  <c r="T15" i="6"/>
  <c r="U15" i="6"/>
  <c r="V15" i="6"/>
  <c r="W15" i="6"/>
  <c r="X15" i="6"/>
  <c r="Y15" i="6"/>
  <c r="Q14" i="6"/>
  <c r="AO4" i="6" s="1"/>
  <c r="Q15" i="6"/>
  <c r="AO9" i="6" s="1"/>
  <c r="Q13" i="6"/>
  <c r="AO2" i="6" s="1"/>
  <c r="Y8" i="6"/>
  <c r="Y9" i="6"/>
  <c r="Y10" i="6"/>
  <c r="Y3" i="6"/>
  <c r="R8" i="6"/>
  <c r="AI7" i="6" s="1"/>
  <c r="S8" i="6"/>
  <c r="T8" i="6"/>
  <c r="AI9" i="6" s="1"/>
  <c r="U8" i="6"/>
  <c r="V8" i="6"/>
  <c r="W8" i="6"/>
  <c r="X8" i="6"/>
  <c r="R9" i="6"/>
  <c r="AI8" i="6" s="1"/>
  <c r="S9" i="6"/>
  <c r="T9" i="6"/>
  <c r="U9" i="6"/>
  <c r="V9" i="6"/>
  <c r="W9" i="6"/>
  <c r="X9" i="6"/>
  <c r="R10" i="6"/>
  <c r="S10" i="6"/>
  <c r="T10" i="6"/>
  <c r="U10" i="6"/>
  <c r="AI12" i="6" s="1"/>
  <c r="AK5" i="6" s="1"/>
  <c r="AL5" i="6" s="1"/>
  <c r="AX17" i="6" s="1"/>
  <c r="V10" i="6"/>
  <c r="W10" i="6"/>
  <c r="X10" i="6"/>
  <c r="Q9" i="6"/>
  <c r="Q10" i="6"/>
  <c r="AI14" i="6" s="1"/>
  <c r="Q8" i="6"/>
  <c r="Y11" i="6"/>
  <c r="Y16" i="6"/>
  <c r="Y21" i="6"/>
  <c r="Y26" i="6"/>
  <c r="Y31" i="6"/>
  <c r="Y36" i="6"/>
  <c r="Y41" i="6"/>
  <c r="Y46" i="6"/>
  <c r="Y51" i="6"/>
  <c r="Y56" i="6"/>
  <c r="Y4" i="6"/>
  <c r="Y5" i="6"/>
  <c r="R3" i="6"/>
  <c r="AC3" i="6" s="1"/>
  <c r="S3" i="6"/>
  <c r="T3" i="6"/>
  <c r="AC2" i="6" s="1"/>
  <c r="U3" i="6"/>
  <c r="V3" i="6"/>
  <c r="W3" i="6"/>
  <c r="X3" i="6"/>
  <c r="R4" i="6"/>
  <c r="S4" i="6"/>
  <c r="AC11" i="6" s="1"/>
  <c r="T4" i="6"/>
  <c r="AC9" i="6" s="1"/>
  <c r="U4" i="6"/>
  <c r="V4" i="6"/>
  <c r="W4" i="6"/>
  <c r="X4" i="6"/>
  <c r="R5" i="6"/>
  <c r="S5" i="6"/>
  <c r="T5" i="6"/>
  <c r="U5" i="6"/>
  <c r="AC7" i="6" s="1"/>
  <c r="V5" i="6"/>
  <c r="W5" i="6"/>
  <c r="X5" i="6"/>
  <c r="Q4" i="6"/>
  <c r="AC10" i="6" s="1"/>
  <c r="Q5" i="6"/>
  <c r="AC8" i="6" s="1"/>
  <c r="AE5" i="6" s="1"/>
  <c r="AF5" i="6" s="1"/>
  <c r="X5" i="1"/>
  <c r="X4" i="1"/>
  <c r="X3" i="1"/>
  <c r="BL3" i="1"/>
  <c r="BM3" i="1"/>
  <c r="BN3" i="1"/>
  <c r="BO3" i="1"/>
  <c r="BP3" i="1"/>
  <c r="BR3" i="1"/>
  <c r="BS3" i="1"/>
  <c r="BL4" i="1"/>
  <c r="BM4" i="1"/>
  <c r="BN4" i="1"/>
  <c r="BO4" i="1"/>
  <c r="BP4" i="1"/>
  <c r="BL5" i="1"/>
  <c r="BP5" i="1"/>
  <c r="BT5" i="1"/>
  <c r="BL8" i="1"/>
  <c r="BM8" i="1"/>
  <c r="BN8" i="1"/>
  <c r="BO8" i="1"/>
  <c r="BP8" i="1"/>
  <c r="BQ8" i="1"/>
  <c r="BR8" i="1"/>
  <c r="BS8" i="1"/>
  <c r="BT8" i="1" s="1"/>
  <c r="BL9" i="1"/>
  <c r="BM9" i="1"/>
  <c r="BN9" i="1"/>
  <c r="BO9" i="1"/>
  <c r="BP9" i="1"/>
  <c r="BQ9" i="1"/>
  <c r="BR9" i="1"/>
  <c r="BS9" i="1"/>
  <c r="BL10" i="1"/>
  <c r="BM10" i="1"/>
  <c r="BN10" i="1"/>
  <c r="BO10" i="1"/>
  <c r="BP10" i="1"/>
  <c r="BQ10" i="1"/>
  <c r="BR10" i="1"/>
  <c r="BS10" i="1"/>
  <c r="BL13" i="1"/>
  <c r="BM13" i="1"/>
  <c r="BN13" i="1"/>
  <c r="BO13" i="1"/>
  <c r="BP13" i="1"/>
  <c r="BQ13" i="1"/>
  <c r="BR13" i="1"/>
  <c r="BS13" i="1"/>
  <c r="BL14" i="1"/>
  <c r="BM14" i="1"/>
  <c r="BN14" i="1"/>
  <c r="BO14" i="1"/>
  <c r="BP14" i="1"/>
  <c r="BQ14" i="1"/>
  <c r="BR14" i="1"/>
  <c r="BS14" i="1"/>
  <c r="BL15" i="1"/>
  <c r="BM15" i="1"/>
  <c r="BN15" i="1"/>
  <c r="BO15" i="1"/>
  <c r="BP15" i="1"/>
  <c r="BQ15" i="1"/>
  <c r="BR15" i="1"/>
  <c r="BS15" i="1"/>
  <c r="BL63" i="1"/>
  <c r="BM63" i="1"/>
  <c r="BN63" i="1"/>
  <c r="BO63" i="1"/>
  <c r="BP63" i="1"/>
  <c r="BQ63" i="1"/>
  <c r="BR63" i="1"/>
  <c r="BS63" i="1"/>
  <c r="BL64" i="1"/>
  <c r="BM64" i="1"/>
  <c r="BN64" i="1"/>
  <c r="BO64" i="1"/>
  <c r="BP64" i="1"/>
  <c r="BQ64" i="1"/>
  <c r="BR64" i="1"/>
  <c r="BS64" i="1"/>
  <c r="BL65" i="1"/>
  <c r="BM65" i="1"/>
  <c r="BN65" i="1"/>
  <c r="BO65" i="1"/>
  <c r="BP65" i="1"/>
  <c r="BQ65" i="1"/>
  <c r="BR65" i="1"/>
  <c r="BS65" i="1"/>
  <c r="BL68" i="1"/>
  <c r="BM68" i="1"/>
  <c r="BN68" i="1"/>
  <c r="BO68" i="1"/>
  <c r="BP68" i="1"/>
  <c r="BQ68" i="1"/>
  <c r="BR68" i="1"/>
  <c r="BS68" i="1"/>
  <c r="BL69" i="1"/>
  <c r="BM69" i="1"/>
  <c r="BN69" i="1"/>
  <c r="BO69" i="1"/>
  <c r="BP69" i="1"/>
  <c r="BQ69" i="1"/>
  <c r="BR69" i="1"/>
  <c r="BS69" i="1"/>
  <c r="BL70" i="1"/>
  <c r="BM70" i="1"/>
  <c r="BN70" i="1"/>
  <c r="BO70" i="1"/>
  <c r="BP70" i="1"/>
  <c r="BQ70" i="1"/>
  <c r="BR70" i="1"/>
  <c r="BS70" i="1"/>
  <c r="BL73" i="1"/>
  <c r="BM73" i="1"/>
  <c r="BN73" i="1"/>
  <c r="BO73" i="1"/>
  <c r="BP73" i="1"/>
  <c r="BQ73" i="1"/>
  <c r="BR73" i="1"/>
  <c r="BL74" i="1"/>
  <c r="BM74" i="1"/>
  <c r="BN74" i="1"/>
  <c r="BO74" i="1"/>
  <c r="BP74" i="1"/>
  <c r="BQ74" i="1"/>
  <c r="BR74" i="1"/>
  <c r="BS74" i="1"/>
  <c r="BL75" i="1"/>
  <c r="BM75" i="1"/>
  <c r="BN75" i="1"/>
  <c r="BO75" i="1"/>
  <c r="BP75" i="1"/>
  <c r="BQ75" i="1"/>
  <c r="BR75" i="1"/>
  <c r="BS75" i="1"/>
  <c r="BL78" i="1"/>
  <c r="BM78" i="1"/>
  <c r="BN78" i="1"/>
  <c r="BO78" i="1"/>
  <c r="BP78" i="1"/>
  <c r="BQ78" i="1"/>
  <c r="BR78" i="1"/>
  <c r="BS78" i="1"/>
  <c r="BL79" i="1"/>
  <c r="BM79" i="1"/>
  <c r="BN79" i="1"/>
  <c r="BO79" i="1"/>
  <c r="BP79" i="1"/>
  <c r="BQ79" i="1"/>
  <c r="BR79" i="1"/>
  <c r="BS79" i="1"/>
  <c r="BL80" i="1"/>
  <c r="BM80" i="1"/>
  <c r="BN80" i="1"/>
  <c r="BO80" i="1"/>
  <c r="BP80" i="1"/>
  <c r="BQ80" i="1"/>
  <c r="BR80" i="1"/>
  <c r="BS80" i="1"/>
  <c r="BL18" i="1"/>
  <c r="BM18" i="1"/>
  <c r="BN18" i="1"/>
  <c r="BO18" i="1"/>
  <c r="BP18" i="1"/>
  <c r="BQ18" i="1"/>
  <c r="BR18" i="1"/>
  <c r="BS18" i="1"/>
  <c r="BL19" i="1"/>
  <c r="BM19" i="1"/>
  <c r="BN19" i="1"/>
  <c r="BO19" i="1"/>
  <c r="BP19" i="1"/>
  <c r="BQ19" i="1"/>
  <c r="BR19" i="1"/>
  <c r="BS19" i="1"/>
  <c r="BL20" i="1"/>
  <c r="BM20" i="1"/>
  <c r="BN20" i="1"/>
  <c r="BO20" i="1"/>
  <c r="BP20" i="1"/>
  <c r="BQ20" i="1"/>
  <c r="BR20" i="1"/>
  <c r="BS20" i="1"/>
  <c r="BL23" i="1"/>
  <c r="BM23" i="1"/>
  <c r="BN23" i="1"/>
  <c r="BO23" i="1"/>
  <c r="BP23" i="1"/>
  <c r="BQ23" i="1"/>
  <c r="BR23" i="1"/>
  <c r="BS23" i="1"/>
  <c r="BL24" i="1"/>
  <c r="BM24" i="1"/>
  <c r="BN24" i="1"/>
  <c r="BO24" i="1"/>
  <c r="BP24" i="1"/>
  <c r="BQ24" i="1"/>
  <c r="BR24" i="1"/>
  <c r="BS24" i="1"/>
  <c r="BL25" i="1"/>
  <c r="BM25" i="1"/>
  <c r="BN25" i="1"/>
  <c r="BO25" i="1"/>
  <c r="BP25" i="1"/>
  <c r="BQ25" i="1"/>
  <c r="BR25" i="1"/>
  <c r="BS25" i="1"/>
  <c r="BL28" i="1"/>
  <c r="BM28" i="1"/>
  <c r="BN28" i="1"/>
  <c r="BO28" i="1"/>
  <c r="BP28" i="1"/>
  <c r="BQ28" i="1"/>
  <c r="BR28" i="1"/>
  <c r="BS28" i="1"/>
  <c r="BL29" i="1"/>
  <c r="BM29" i="1"/>
  <c r="BN29" i="1"/>
  <c r="BO29" i="1"/>
  <c r="BP29" i="1"/>
  <c r="BQ29" i="1"/>
  <c r="BR29" i="1"/>
  <c r="BS29" i="1"/>
  <c r="BL30" i="1"/>
  <c r="BM30" i="1"/>
  <c r="BN30" i="1"/>
  <c r="BO30" i="1"/>
  <c r="BP30" i="1"/>
  <c r="BQ30" i="1"/>
  <c r="BR30" i="1"/>
  <c r="BS30" i="1"/>
  <c r="BL33" i="1"/>
  <c r="BM33" i="1"/>
  <c r="BN33" i="1"/>
  <c r="BO33" i="1"/>
  <c r="BP33" i="1"/>
  <c r="BQ33" i="1"/>
  <c r="BR33" i="1"/>
  <c r="BS33" i="1"/>
  <c r="BL34" i="1"/>
  <c r="BM34" i="1"/>
  <c r="BN34" i="1"/>
  <c r="BO34" i="1"/>
  <c r="BP34" i="1"/>
  <c r="BQ34" i="1"/>
  <c r="BR34" i="1"/>
  <c r="BS34" i="1"/>
  <c r="BL35" i="1"/>
  <c r="BM35" i="1"/>
  <c r="BN35" i="1"/>
  <c r="BO35" i="1"/>
  <c r="BP35" i="1"/>
  <c r="BQ35" i="1"/>
  <c r="BR35" i="1"/>
  <c r="BS35" i="1"/>
  <c r="BL38" i="1"/>
  <c r="BM38" i="1"/>
  <c r="BN38" i="1"/>
  <c r="BO38" i="1"/>
  <c r="BP38" i="1"/>
  <c r="BQ38" i="1"/>
  <c r="BR38" i="1"/>
  <c r="BS38" i="1"/>
  <c r="BL39" i="1"/>
  <c r="BM39" i="1"/>
  <c r="BN39" i="1"/>
  <c r="BO39" i="1"/>
  <c r="BP39" i="1"/>
  <c r="BQ39" i="1"/>
  <c r="BR39" i="1"/>
  <c r="BS39" i="1"/>
  <c r="BL40" i="1"/>
  <c r="BM40" i="1"/>
  <c r="BN40" i="1"/>
  <c r="BO40" i="1"/>
  <c r="BP40" i="1"/>
  <c r="BQ40" i="1"/>
  <c r="BR40" i="1"/>
  <c r="BS40" i="1"/>
  <c r="BL43" i="1"/>
  <c r="BM43" i="1"/>
  <c r="BN43" i="1"/>
  <c r="BO43" i="1"/>
  <c r="BP43" i="1"/>
  <c r="BQ43" i="1"/>
  <c r="BR43" i="1"/>
  <c r="BS43" i="1"/>
  <c r="BL44" i="1"/>
  <c r="BM44" i="1"/>
  <c r="BN44" i="1"/>
  <c r="BO44" i="1"/>
  <c r="BP44" i="1"/>
  <c r="BQ44" i="1"/>
  <c r="BR44" i="1"/>
  <c r="BS44" i="1"/>
  <c r="BL45" i="1"/>
  <c r="BM45" i="1"/>
  <c r="BN45" i="1"/>
  <c r="BO45" i="1"/>
  <c r="BP45" i="1"/>
  <c r="BQ45" i="1"/>
  <c r="BR45" i="1"/>
  <c r="BS45" i="1"/>
  <c r="BL48" i="1"/>
  <c r="BM48" i="1"/>
  <c r="BN48" i="1"/>
  <c r="BO48" i="1"/>
  <c r="BP48" i="1"/>
  <c r="BQ48" i="1"/>
  <c r="BR48" i="1"/>
  <c r="BS48" i="1"/>
  <c r="BL49" i="1"/>
  <c r="BM49" i="1"/>
  <c r="BN49" i="1"/>
  <c r="BO49" i="1"/>
  <c r="BP49" i="1"/>
  <c r="BQ49" i="1"/>
  <c r="BR49" i="1"/>
  <c r="BS49" i="1"/>
  <c r="BL50" i="1"/>
  <c r="BM50" i="1"/>
  <c r="BN50" i="1"/>
  <c r="BO50" i="1"/>
  <c r="BP50" i="1"/>
  <c r="BQ50" i="1"/>
  <c r="BR50" i="1"/>
  <c r="BS50" i="1"/>
  <c r="BL53" i="1"/>
  <c r="BM53" i="1"/>
  <c r="BN53" i="1"/>
  <c r="BO53" i="1"/>
  <c r="BP53" i="1"/>
  <c r="BQ53" i="1"/>
  <c r="BR53" i="1"/>
  <c r="BS53" i="1"/>
  <c r="BL54" i="1"/>
  <c r="BM54" i="1"/>
  <c r="BN54" i="1"/>
  <c r="BO54" i="1"/>
  <c r="BP54" i="1"/>
  <c r="BQ54" i="1"/>
  <c r="BR54" i="1"/>
  <c r="BS54" i="1"/>
  <c r="BL55" i="1"/>
  <c r="BM55" i="1"/>
  <c r="BN55" i="1"/>
  <c r="BO55" i="1"/>
  <c r="BP55" i="1"/>
  <c r="BQ55" i="1"/>
  <c r="BR55" i="1"/>
  <c r="BS55" i="1"/>
  <c r="BL58" i="1"/>
  <c r="BM58" i="1"/>
  <c r="BN58" i="1"/>
  <c r="BO58" i="1"/>
  <c r="BP58" i="1"/>
  <c r="BR58" i="1"/>
  <c r="BS58" i="1"/>
  <c r="BL59" i="1"/>
  <c r="BM59" i="1"/>
  <c r="BN59" i="1"/>
  <c r="BO59" i="1"/>
  <c r="BP59" i="1"/>
  <c r="BQ59" i="1"/>
  <c r="BR59" i="1"/>
  <c r="BS59" i="1"/>
  <c r="BL60" i="1"/>
  <c r="BM60" i="1"/>
  <c r="BN60" i="1"/>
  <c r="BO60" i="1"/>
  <c r="BP60" i="1"/>
  <c r="BQ60" i="1"/>
  <c r="BR60" i="1"/>
  <c r="BS60" i="1"/>
  <c r="W108" i="4"/>
  <c r="X108" i="4"/>
  <c r="Y108" i="4"/>
  <c r="W109" i="4"/>
  <c r="X109" i="4"/>
  <c r="Y109" i="4"/>
  <c r="W110" i="4"/>
  <c r="X110" i="4"/>
  <c r="Y110" i="4"/>
  <c r="W111" i="4"/>
  <c r="X111" i="4"/>
  <c r="Y111" i="4"/>
  <c r="W112" i="4"/>
  <c r="X112" i="4"/>
  <c r="Y112" i="4"/>
  <c r="W113" i="4"/>
  <c r="X113" i="4"/>
  <c r="Y113" i="4"/>
  <c r="W107" i="4"/>
  <c r="AA109" i="4"/>
  <c r="AA110" i="4"/>
  <c r="AA111" i="4"/>
  <c r="AA112" i="4"/>
  <c r="AA113" i="4"/>
  <c r="AA108" i="4"/>
  <c r="L109" i="4"/>
  <c r="G108" i="4"/>
  <c r="Z108" i="4" s="1"/>
  <c r="G109" i="4"/>
  <c r="Z109" i="4" s="1"/>
  <c r="G110" i="4"/>
  <c r="Z110" i="4" s="1"/>
  <c r="G111" i="4"/>
  <c r="Z111" i="4" s="1"/>
  <c r="G112" i="4"/>
  <c r="Z112" i="4" s="1"/>
  <c r="G113" i="4"/>
  <c r="Z113" i="4" s="1"/>
  <c r="X55" i="4"/>
  <c r="Y55" i="4"/>
  <c r="X56" i="4"/>
  <c r="Y56" i="4"/>
  <c r="X57" i="4"/>
  <c r="Y57" i="4"/>
  <c r="X58" i="4"/>
  <c r="Y58" i="4"/>
  <c r="X59" i="4"/>
  <c r="Y59" i="4"/>
  <c r="Z59" i="4"/>
  <c r="Y51" i="4"/>
  <c r="G58" i="4"/>
  <c r="Z58" i="4" s="1"/>
  <c r="G4" i="4"/>
  <c r="G5" i="4"/>
  <c r="G6" i="4"/>
  <c r="G7" i="4"/>
  <c r="G8" i="4"/>
  <c r="G9" i="4"/>
  <c r="Z9" i="4" s="1"/>
  <c r="G10" i="4"/>
  <c r="G11" i="4"/>
  <c r="Z11" i="4" s="1"/>
  <c r="G12" i="4"/>
  <c r="G13" i="4"/>
  <c r="G14" i="4"/>
  <c r="G15" i="4"/>
  <c r="Z15" i="4" s="1"/>
  <c r="G16" i="4"/>
  <c r="G17" i="4"/>
  <c r="Z17" i="4" s="1"/>
  <c r="G18" i="4"/>
  <c r="G19" i="4"/>
  <c r="Z19" i="4" s="1"/>
  <c r="G20" i="4"/>
  <c r="G21" i="4"/>
  <c r="G22" i="4"/>
  <c r="G23" i="4"/>
  <c r="G24" i="4"/>
  <c r="G25" i="4"/>
  <c r="G28" i="4"/>
  <c r="G30" i="4"/>
  <c r="G31" i="4"/>
  <c r="G32" i="4"/>
  <c r="G33" i="4"/>
  <c r="Z33" i="4" s="1"/>
  <c r="G34" i="4"/>
  <c r="G35" i="4"/>
  <c r="G36" i="4"/>
  <c r="G37" i="4"/>
  <c r="G38" i="4"/>
  <c r="G39" i="4"/>
  <c r="G40" i="4"/>
  <c r="G41" i="4"/>
  <c r="Z41" i="4" s="1"/>
  <c r="G42" i="4"/>
  <c r="G43" i="4"/>
  <c r="G44" i="4"/>
  <c r="G45" i="4"/>
  <c r="G46" i="4"/>
  <c r="G47" i="4"/>
  <c r="G48" i="4"/>
  <c r="G49" i="4"/>
  <c r="G50" i="4"/>
  <c r="G51" i="4"/>
  <c r="Z51" i="4" s="1"/>
  <c r="G52" i="4"/>
  <c r="G53" i="4"/>
  <c r="G54" i="4"/>
  <c r="G56" i="4"/>
  <c r="Z56" i="4" s="1"/>
  <c r="G57" i="4"/>
  <c r="Z57" i="4" s="1"/>
  <c r="G3" i="4"/>
  <c r="AJ277" i="2"/>
  <c r="BH277" i="2" s="1"/>
  <c r="AJ278" i="2"/>
  <c r="BH278" i="2" s="1"/>
  <c r="AJ279" i="2"/>
  <c r="BH279" i="2" s="1"/>
  <c r="AJ282" i="2"/>
  <c r="BH282" i="2" s="1"/>
  <c r="AJ283" i="2"/>
  <c r="BH283" i="2" s="1"/>
  <c r="AJ284" i="2"/>
  <c r="BH284" i="2" s="1"/>
  <c r="AJ274" i="2"/>
  <c r="BH274" i="2" s="1"/>
  <c r="AJ273" i="2"/>
  <c r="BH273" i="2" s="1"/>
  <c r="AJ272" i="2"/>
  <c r="AJ267" i="2"/>
  <c r="AJ269" i="2"/>
  <c r="AJ268" i="2"/>
  <c r="AJ270" i="2"/>
  <c r="AJ263" i="2"/>
  <c r="AJ264" i="2"/>
  <c r="AJ262" i="2"/>
  <c r="AK264" i="2" s="1"/>
  <c r="AJ265" i="2"/>
  <c r="L3" i="3"/>
  <c r="L4" i="3"/>
  <c r="L5" i="3"/>
  <c r="L6" i="3"/>
  <c r="L52" i="3"/>
  <c r="L51" i="3"/>
  <c r="L50" i="3"/>
  <c r="L53" i="3" s="1"/>
  <c r="L46" i="3"/>
  <c r="L45" i="3"/>
  <c r="L44" i="3"/>
  <c r="L47" i="3" s="1"/>
  <c r="L41" i="3"/>
  <c r="L40" i="3"/>
  <c r="L39" i="3"/>
  <c r="L42" i="3" s="1"/>
  <c r="L33" i="3"/>
  <c r="L34" i="3"/>
  <c r="L35" i="3"/>
  <c r="L36" i="3"/>
  <c r="L30" i="3"/>
  <c r="L29" i="3"/>
  <c r="L28" i="3"/>
  <c r="L31" i="3" s="1"/>
  <c r="L25" i="3"/>
  <c r="L24" i="3"/>
  <c r="L23" i="3"/>
  <c r="L26" i="3" s="1"/>
  <c r="L18" i="3"/>
  <c r="L19" i="3"/>
  <c r="L20" i="3"/>
  <c r="L21" i="3"/>
  <c r="W80" i="4"/>
  <c r="Y74" i="4"/>
  <c r="Y71" i="4"/>
  <c r="Y118" i="4"/>
  <c r="Y103" i="4"/>
  <c r="W103" i="4"/>
  <c r="X103" i="4"/>
  <c r="Y101" i="4"/>
  <c r="Y102" i="4"/>
  <c r="Y104" i="4"/>
  <c r="Y105" i="4"/>
  <c r="Y106" i="4"/>
  <c r="Y107" i="4"/>
  <c r="Y100" i="4"/>
  <c r="Y92" i="4"/>
  <c r="Y94" i="4"/>
  <c r="Y95" i="4"/>
  <c r="Y93" i="4"/>
  <c r="W4" i="4"/>
  <c r="W6" i="4"/>
  <c r="W23" i="4"/>
  <c r="X47" i="4"/>
  <c r="X41" i="4"/>
  <c r="X42" i="4"/>
  <c r="X37" i="4"/>
  <c r="W34" i="4"/>
  <c r="W35" i="4"/>
  <c r="V29" i="4"/>
  <c r="V28" i="4"/>
  <c r="V27" i="4"/>
  <c r="V26" i="4"/>
  <c r="V25" i="4"/>
  <c r="V24" i="4"/>
  <c r="Z24" i="4" s="1"/>
  <c r="Q26" i="4"/>
  <c r="Q27" i="4"/>
  <c r="Q28" i="4"/>
  <c r="Z28" i="4" s="1"/>
  <c r="Q29" i="4"/>
  <c r="Z29" i="4" s="1"/>
  <c r="Q25" i="4"/>
  <c r="AV134" i="2"/>
  <c r="AV133" i="2"/>
  <c r="AV132" i="2"/>
  <c r="AV135" i="2"/>
  <c r="AV129" i="2"/>
  <c r="AV128" i="2"/>
  <c r="AV127" i="2"/>
  <c r="AV130" i="2"/>
  <c r="AV124" i="2"/>
  <c r="AV123" i="2"/>
  <c r="AV122" i="2"/>
  <c r="AV125" i="2"/>
  <c r="AV119" i="2"/>
  <c r="AV118" i="2"/>
  <c r="AV117" i="2"/>
  <c r="AV120" i="2"/>
  <c r="AV114" i="2"/>
  <c r="AV113" i="2"/>
  <c r="AV112" i="2"/>
  <c r="AV115" i="2"/>
  <c r="AV109" i="2"/>
  <c r="AV108" i="2"/>
  <c r="AV107" i="2"/>
  <c r="AV110" i="2"/>
  <c r="AJ134" i="2"/>
  <c r="AJ133" i="2"/>
  <c r="AJ132" i="2"/>
  <c r="AJ135" i="2" s="1"/>
  <c r="AJ129" i="2"/>
  <c r="AJ128" i="2"/>
  <c r="AJ127" i="2"/>
  <c r="AJ130" i="2"/>
  <c r="AJ124" i="2"/>
  <c r="AJ123" i="2"/>
  <c r="AJ122" i="2"/>
  <c r="AJ125" i="2"/>
  <c r="AJ119" i="2"/>
  <c r="AJ118" i="2"/>
  <c r="AJ117" i="2"/>
  <c r="AJ120" i="2"/>
  <c r="AJ114" i="2"/>
  <c r="AJ113" i="2"/>
  <c r="AJ112" i="2"/>
  <c r="AJ115" i="2"/>
  <c r="AJ109" i="2"/>
  <c r="AJ108" i="2"/>
  <c r="AJ107" i="2"/>
  <c r="AJ110" i="2"/>
  <c r="L118" i="4"/>
  <c r="G118" i="4"/>
  <c r="K31" i="5"/>
  <c r="K30" i="5"/>
  <c r="K29" i="5"/>
  <c r="K32" i="5"/>
  <c r="K26" i="5"/>
  <c r="K25" i="5"/>
  <c r="K24" i="5"/>
  <c r="K27" i="5"/>
  <c r="K21" i="5"/>
  <c r="K20" i="5"/>
  <c r="K19" i="5"/>
  <c r="K22" i="5"/>
  <c r="K17" i="5"/>
  <c r="K16" i="5"/>
  <c r="K15" i="5"/>
  <c r="K14" i="5"/>
  <c r="K11" i="5"/>
  <c r="K10" i="5"/>
  <c r="K9" i="5"/>
  <c r="K12" i="5"/>
  <c r="K7" i="5"/>
  <c r="K5" i="5"/>
  <c r="K6" i="5"/>
  <c r="K4" i="5"/>
  <c r="L103" i="4"/>
  <c r="L104" i="4"/>
  <c r="L105" i="4"/>
  <c r="L106" i="4"/>
  <c r="L107" i="4"/>
  <c r="L100" i="4"/>
  <c r="G100" i="4"/>
  <c r="G101" i="4"/>
  <c r="G102" i="4"/>
  <c r="G103" i="4"/>
  <c r="G104" i="4"/>
  <c r="G105" i="4"/>
  <c r="G106" i="4"/>
  <c r="Z106" i="4" s="1"/>
  <c r="G107" i="4"/>
  <c r="Z107" i="4" s="1"/>
  <c r="L102" i="4"/>
  <c r="L101" i="4"/>
  <c r="AJ40" i="3"/>
  <c r="AJ39" i="3"/>
  <c r="AJ38" i="3"/>
  <c r="AJ35" i="3"/>
  <c r="AJ34" i="3"/>
  <c r="AJ33" i="3"/>
  <c r="AJ30" i="3"/>
  <c r="AJ29" i="3"/>
  <c r="AJ28" i="3"/>
  <c r="AJ25" i="3"/>
  <c r="AJ24" i="3"/>
  <c r="AJ23" i="3"/>
  <c r="AJ20" i="3"/>
  <c r="AJ19" i="3"/>
  <c r="AJ18" i="3"/>
  <c r="AJ5" i="3"/>
  <c r="AJ4" i="3"/>
  <c r="AJ3" i="3"/>
  <c r="AJ6" i="3"/>
  <c r="X40" i="3"/>
  <c r="X39" i="3"/>
  <c r="X38" i="3"/>
  <c r="X35" i="3"/>
  <c r="X34" i="3"/>
  <c r="X33" i="3"/>
  <c r="X30" i="3"/>
  <c r="X29" i="3"/>
  <c r="X28" i="3"/>
  <c r="X31" i="3"/>
  <c r="X25" i="3"/>
  <c r="X24" i="3"/>
  <c r="X23" i="3"/>
  <c r="X20" i="3"/>
  <c r="X19" i="3"/>
  <c r="X18" i="3"/>
  <c r="X15" i="3"/>
  <c r="X14" i="3"/>
  <c r="X13" i="3"/>
  <c r="X10" i="3"/>
  <c r="X9" i="3"/>
  <c r="X8" i="3"/>
  <c r="X5" i="3"/>
  <c r="X4" i="3"/>
  <c r="X3" i="3"/>
  <c r="X6" i="3"/>
  <c r="L15" i="3"/>
  <c r="L14" i="3"/>
  <c r="L13" i="3"/>
  <c r="L9" i="3"/>
  <c r="L10" i="3"/>
  <c r="L8" i="3"/>
  <c r="L11" i="3"/>
  <c r="X104" i="4"/>
  <c r="X100" i="4"/>
  <c r="X101" i="4"/>
  <c r="X102" i="4"/>
  <c r="X105" i="4"/>
  <c r="X106" i="4"/>
  <c r="X107" i="4"/>
  <c r="W101" i="4"/>
  <c r="W102" i="4"/>
  <c r="W104" i="4"/>
  <c r="W105" i="4"/>
  <c r="W106" i="4"/>
  <c r="W100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2" i="4"/>
  <c r="Y53" i="4"/>
  <c r="Y54" i="4"/>
  <c r="X15" i="4"/>
  <c r="X3" i="4"/>
  <c r="X4" i="4"/>
  <c r="X5" i="4"/>
  <c r="X6" i="4"/>
  <c r="X7" i="4"/>
  <c r="X8" i="4"/>
  <c r="X9" i="4"/>
  <c r="X10" i="4"/>
  <c r="X11" i="4"/>
  <c r="X12" i="4"/>
  <c r="X13" i="4"/>
  <c r="X14" i="4"/>
  <c r="X16" i="4"/>
  <c r="X17" i="4"/>
  <c r="X18" i="4"/>
  <c r="X19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6" i="4"/>
  <c r="X38" i="4"/>
  <c r="X39" i="4"/>
  <c r="X40" i="4"/>
  <c r="X43" i="4"/>
  <c r="X44" i="4"/>
  <c r="X45" i="4"/>
  <c r="X46" i="4"/>
  <c r="X48" i="4"/>
  <c r="X49" i="4"/>
  <c r="X50" i="4"/>
  <c r="X51" i="4"/>
  <c r="X52" i="4"/>
  <c r="X53" i="4"/>
  <c r="X54" i="4"/>
  <c r="W5" i="4"/>
  <c r="W7" i="4"/>
  <c r="W8" i="4"/>
  <c r="W9" i="4"/>
  <c r="W10" i="4"/>
  <c r="W11" i="4"/>
  <c r="W12" i="4"/>
  <c r="W13" i="4"/>
  <c r="W14" i="4"/>
  <c r="W16" i="4"/>
  <c r="W17" i="4"/>
  <c r="W18" i="4"/>
  <c r="W19" i="4"/>
  <c r="W20" i="4"/>
  <c r="W21" i="4"/>
  <c r="W22" i="4"/>
  <c r="W24" i="4"/>
  <c r="W25" i="4"/>
  <c r="W26" i="4"/>
  <c r="W27" i="4"/>
  <c r="W28" i="4"/>
  <c r="W29" i="4"/>
  <c r="W30" i="4"/>
  <c r="W31" i="4"/>
  <c r="W32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Y70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69" i="4"/>
  <c r="X86" i="4"/>
  <c r="X70" i="4"/>
  <c r="X71" i="4"/>
  <c r="X74" i="4"/>
  <c r="X75" i="4"/>
  <c r="X76" i="4"/>
  <c r="X77" i="4"/>
  <c r="X78" i="4"/>
  <c r="X79" i="4"/>
  <c r="X80" i="4"/>
  <c r="X81" i="4"/>
  <c r="X82" i="4"/>
  <c r="X83" i="4"/>
  <c r="X84" i="4"/>
  <c r="X85" i="4"/>
  <c r="X87" i="4"/>
  <c r="X88" i="4"/>
  <c r="X89" i="4"/>
  <c r="X90" i="4"/>
  <c r="X91" i="4"/>
  <c r="X92" i="4"/>
  <c r="X93" i="4"/>
  <c r="X94" i="4"/>
  <c r="X95" i="4"/>
  <c r="X69" i="4"/>
  <c r="W74" i="4"/>
  <c r="W75" i="4"/>
  <c r="W76" i="4"/>
  <c r="W78" i="4"/>
  <c r="W79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118" i="4"/>
  <c r="W70" i="4"/>
  <c r="W71" i="4"/>
  <c r="W69" i="4"/>
  <c r="L94" i="4"/>
  <c r="L95" i="4"/>
  <c r="L93" i="4"/>
  <c r="Q91" i="4"/>
  <c r="AJ103" i="1"/>
  <c r="G94" i="4"/>
  <c r="G95" i="4"/>
  <c r="G93" i="4"/>
  <c r="AV115" i="1"/>
  <c r="AV114" i="1"/>
  <c r="AV113" i="1"/>
  <c r="AJ104" i="1"/>
  <c r="AJ110" i="1"/>
  <c r="AJ109" i="1"/>
  <c r="AJ108" i="1"/>
  <c r="AJ114" i="1"/>
  <c r="AJ113" i="1"/>
  <c r="AJ116" i="1"/>
  <c r="AJ120" i="1"/>
  <c r="AJ119" i="1"/>
  <c r="AJ118" i="1"/>
  <c r="AJ125" i="1"/>
  <c r="AJ124" i="1"/>
  <c r="AJ123" i="1"/>
  <c r="AJ130" i="1"/>
  <c r="AJ129" i="1"/>
  <c r="AJ128" i="1"/>
  <c r="AJ135" i="1"/>
  <c r="AJ134" i="1"/>
  <c r="AJ133" i="1"/>
  <c r="X135" i="1"/>
  <c r="X134" i="1"/>
  <c r="X133" i="1"/>
  <c r="X130" i="1"/>
  <c r="X129" i="1"/>
  <c r="X128" i="1"/>
  <c r="X125" i="1"/>
  <c r="X124" i="1"/>
  <c r="X123" i="1"/>
  <c r="X114" i="1"/>
  <c r="X113" i="1"/>
  <c r="X116" i="1"/>
  <c r="X110" i="1"/>
  <c r="X109" i="1"/>
  <c r="X108" i="1"/>
  <c r="V80" i="4"/>
  <c r="V79" i="4"/>
  <c r="V74" i="4"/>
  <c r="V75" i="4"/>
  <c r="V76" i="4"/>
  <c r="V77" i="4"/>
  <c r="V78" i="4"/>
  <c r="AF73" i="4"/>
  <c r="AF72" i="4"/>
  <c r="V73" i="4"/>
  <c r="V72" i="4"/>
  <c r="Q70" i="4"/>
  <c r="Q71" i="4"/>
  <c r="Q72" i="4"/>
  <c r="Q73" i="4"/>
  <c r="Q74" i="4"/>
  <c r="Q75" i="4"/>
  <c r="Q69" i="4"/>
  <c r="X98" i="1"/>
  <c r="X94" i="1"/>
  <c r="X93" i="1"/>
  <c r="X103" i="1"/>
  <c r="L84" i="4"/>
  <c r="L83" i="4"/>
  <c r="L82" i="4"/>
  <c r="L81" i="4"/>
  <c r="L80" i="4"/>
  <c r="L79" i="4"/>
  <c r="L76" i="4"/>
  <c r="L77" i="4"/>
  <c r="L78" i="4"/>
  <c r="L75" i="4"/>
  <c r="G75" i="4"/>
  <c r="L74" i="4"/>
  <c r="L70" i="4"/>
  <c r="L71" i="4"/>
  <c r="L72" i="4"/>
  <c r="L73" i="4"/>
  <c r="L69" i="4"/>
  <c r="BH20" i="1"/>
  <c r="BH19" i="1"/>
  <c r="BH18" i="1"/>
  <c r="AV60" i="1"/>
  <c r="AV59" i="1"/>
  <c r="AV58" i="1"/>
  <c r="BU58" i="1" s="1"/>
  <c r="AV55" i="1"/>
  <c r="AV54" i="1"/>
  <c r="AV53" i="1"/>
  <c r="AV50" i="1"/>
  <c r="AV49" i="1"/>
  <c r="AV48" i="1"/>
  <c r="AV45" i="1"/>
  <c r="AV44" i="1"/>
  <c r="AV43" i="1"/>
  <c r="AV40" i="1"/>
  <c r="AV39" i="1"/>
  <c r="AV38" i="1"/>
  <c r="AV35" i="1"/>
  <c r="AV34" i="1"/>
  <c r="AV33" i="1"/>
  <c r="AV30" i="1"/>
  <c r="AV29" i="1"/>
  <c r="AV28" i="1"/>
  <c r="AV25" i="1"/>
  <c r="AV24" i="1"/>
  <c r="AV23" i="1"/>
  <c r="AV20" i="1"/>
  <c r="AV19" i="1"/>
  <c r="AV18" i="1"/>
  <c r="BH25" i="1"/>
  <c r="BH24" i="1"/>
  <c r="BH23" i="1"/>
  <c r="AJ25" i="1"/>
  <c r="AJ24" i="1"/>
  <c r="AJ23" i="1"/>
  <c r="AJ20" i="1"/>
  <c r="AJ19" i="1"/>
  <c r="AJ18" i="1"/>
  <c r="X35" i="1"/>
  <c r="X34" i="1"/>
  <c r="X33" i="1"/>
  <c r="X30" i="1"/>
  <c r="X29" i="1"/>
  <c r="X28" i="1"/>
  <c r="X31" i="1"/>
  <c r="X25" i="1"/>
  <c r="X24" i="1"/>
  <c r="X23" i="1"/>
  <c r="X20" i="1"/>
  <c r="X19" i="1"/>
  <c r="X18" i="1"/>
  <c r="X15" i="1"/>
  <c r="X14" i="1"/>
  <c r="X13" i="1"/>
  <c r="X10" i="1"/>
  <c r="X9" i="1"/>
  <c r="X8" i="1"/>
  <c r="L80" i="1"/>
  <c r="L79" i="1"/>
  <c r="L78" i="1"/>
  <c r="L75" i="1"/>
  <c r="L74" i="1"/>
  <c r="L73" i="1"/>
  <c r="L70" i="1"/>
  <c r="L69" i="1"/>
  <c r="L68" i="1"/>
  <c r="L71" i="1"/>
  <c r="L65" i="1"/>
  <c r="BU65" i="1" s="1"/>
  <c r="L64" i="1"/>
  <c r="BU64" i="1" s="1"/>
  <c r="L63" i="1"/>
  <c r="BU63" i="1" s="1"/>
  <c r="L60" i="1"/>
  <c r="BU60" i="1" s="1"/>
  <c r="L59" i="1"/>
  <c r="BU59" i="1" s="1"/>
  <c r="L58" i="1"/>
  <c r="L55" i="1"/>
  <c r="L54" i="1"/>
  <c r="L53" i="1"/>
  <c r="L50" i="1"/>
  <c r="L49" i="1"/>
  <c r="L48" i="1"/>
  <c r="L45" i="1"/>
  <c r="L44" i="1"/>
  <c r="L43" i="1"/>
  <c r="L40" i="1"/>
  <c r="L39" i="1"/>
  <c r="L38" i="1"/>
  <c r="L35" i="1"/>
  <c r="L34" i="1"/>
  <c r="L33" i="1"/>
  <c r="L30" i="1"/>
  <c r="L29" i="1"/>
  <c r="L28" i="1"/>
  <c r="L31" i="1"/>
  <c r="L25" i="1"/>
  <c r="L24" i="1"/>
  <c r="L23" i="1"/>
  <c r="L20" i="1"/>
  <c r="L19" i="1"/>
  <c r="L18" i="1"/>
  <c r="L15" i="1"/>
  <c r="L14" i="1"/>
  <c r="L13" i="1"/>
  <c r="L10" i="1"/>
  <c r="L9" i="1"/>
  <c r="L8" i="1"/>
  <c r="L4" i="1"/>
  <c r="L5" i="1"/>
  <c r="L3" i="1"/>
  <c r="X103" i="2"/>
  <c r="X102" i="2"/>
  <c r="X104" i="2"/>
  <c r="X257" i="2"/>
  <c r="X259" i="2"/>
  <c r="X252" i="2"/>
  <c r="X254" i="2"/>
  <c r="X248" i="2"/>
  <c r="X247" i="2"/>
  <c r="X249" i="2"/>
  <c r="X238" i="2"/>
  <c r="X237" i="2"/>
  <c r="X239" i="2"/>
  <c r="X233" i="2"/>
  <c r="X232" i="2"/>
  <c r="X234" i="2"/>
  <c r="X228" i="2"/>
  <c r="X227" i="2"/>
  <c r="X229" i="2"/>
  <c r="X223" i="2"/>
  <c r="X222" i="2"/>
  <c r="X224" i="2"/>
  <c r="X218" i="2"/>
  <c r="X217" i="2"/>
  <c r="X219" i="2"/>
  <c r="X8" i="2"/>
  <c r="X7" i="2"/>
  <c r="X9" i="2"/>
  <c r="X3" i="2"/>
  <c r="X2" i="2"/>
  <c r="X4" i="2"/>
  <c r="Q3" i="4"/>
  <c r="Q4" i="4"/>
  <c r="Z4" i="4" s="1"/>
  <c r="Q7" i="4"/>
  <c r="Z7" i="4" s="1"/>
  <c r="X118" i="4"/>
  <c r="Z54" i="4"/>
  <c r="L53" i="4"/>
  <c r="L52" i="4"/>
  <c r="L50" i="4"/>
  <c r="Z50" i="4" s="1"/>
  <c r="L49" i="4"/>
  <c r="L48" i="4"/>
  <c r="Z48" i="4" s="1"/>
  <c r="L47" i="4"/>
  <c r="L46" i="4"/>
  <c r="Z46" i="4" s="1"/>
  <c r="L92" i="4"/>
  <c r="Z92" i="4" s="1"/>
  <c r="L91" i="4"/>
  <c r="L90" i="4"/>
  <c r="L89" i="4"/>
  <c r="X104" i="1"/>
  <c r="X99" i="1"/>
  <c r="X100" i="1"/>
  <c r="K258" i="2"/>
  <c r="BH258" i="2" s="1"/>
  <c r="K257" i="2"/>
  <c r="BH257" i="2" s="1"/>
  <c r="BH260" i="2" s="1"/>
  <c r="K259" i="2"/>
  <c r="K253" i="2"/>
  <c r="BH253" i="2" s="1"/>
  <c r="K252" i="2"/>
  <c r="BH252" i="2" s="1"/>
  <c r="BH255" i="2" s="1"/>
  <c r="K254" i="2"/>
  <c r="BI255" i="2" s="1"/>
  <c r="K248" i="2"/>
  <c r="BH248" i="2" s="1"/>
  <c r="K247" i="2"/>
  <c r="BH247" i="2" s="1"/>
  <c r="BH250" i="2" s="1"/>
  <c r="K249" i="2"/>
  <c r="BI250" i="2" s="1"/>
  <c r="K243" i="2"/>
  <c r="K242" i="2"/>
  <c r="K244" i="2"/>
  <c r="K238" i="2"/>
  <c r="BH238" i="2" s="1"/>
  <c r="K237" i="2"/>
  <c r="BH237" i="2" s="1"/>
  <c r="BH240" i="2" s="1"/>
  <c r="K239" i="2"/>
  <c r="BI240" i="2" s="1"/>
  <c r="K233" i="2"/>
  <c r="BH233" i="2" s="1"/>
  <c r="K232" i="2"/>
  <c r="BH232" i="2" s="1"/>
  <c r="BH235" i="2" s="1"/>
  <c r="K234" i="2"/>
  <c r="BI235" i="2" s="1"/>
  <c r="K228" i="2"/>
  <c r="BH228" i="2" s="1"/>
  <c r="K227" i="2"/>
  <c r="BH227" i="2" s="1"/>
  <c r="BH230" i="2" s="1"/>
  <c r="K229" i="2"/>
  <c r="BI230" i="2" s="1"/>
  <c r="K223" i="2"/>
  <c r="BH223" i="2" s="1"/>
  <c r="K222" i="2"/>
  <c r="BH222" i="2" s="1"/>
  <c r="BH225" i="2" s="1"/>
  <c r="K224" i="2"/>
  <c r="BI225" i="2" s="1"/>
  <c r="K218" i="2"/>
  <c r="BH218" i="2" s="1"/>
  <c r="K217" i="2"/>
  <c r="BH217" i="2" s="1"/>
  <c r="BH220" i="2" s="1"/>
  <c r="K219" i="2"/>
  <c r="BI220" i="2" s="1"/>
  <c r="K213" i="2"/>
  <c r="BH213" i="2" s="1"/>
  <c r="K212" i="2"/>
  <c r="BH212" i="2" s="1"/>
  <c r="K214" i="2"/>
  <c r="K193" i="2"/>
  <c r="K192" i="2"/>
  <c r="K194" i="2"/>
  <c r="BI195" i="2" s="1"/>
  <c r="K188" i="2"/>
  <c r="K187" i="2"/>
  <c r="K189" i="2"/>
  <c r="K183" i="2"/>
  <c r="K182" i="2"/>
  <c r="K184" i="2"/>
  <c r="K103" i="2"/>
  <c r="K102" i="2"/>
  <c r="K104" i="2"/>
  <c r="K98" i="2"/>
  <c r="K97" i="2"/>
  <c r="K99" i="2"/>
  <c r="K93" i="2"/>
  <c r="K92" i="2"/>
  <c r="K94" i="2"/>
  <c r="K83" i="2"/>
  <c r="K82" i="2"/>
  <c r="K84" i="2"/>
  <c r="BI85" i="2" s="1"/>
  <c r="K78" i="2"/>
  <c r="K77" i="2"/>
  <c r="K79" i="2"/>
  <c r="BI80" i="2" s="1"/>
  <c r="J74" i="2"/>
  <c r="K73" i="2"/>
  <c r="L73" i="2"/>
  <c r="K72" i="2"/>
  <c r="J69" i="2"/>
  <c r="K68" i="2"/>
  <c r="L68" i="2"/>
  <c r="K67" i="2"/>
  <c r="J64" i="2"/>
  <c r="L63" i="2"/>
  <c r="K58" i="2"/>
  <c r="K57" i="2"/>
  <c r="K59" i="2"/>
  <c r="BI60" i="2" s="1"/>
  <c r="K53" i="2"/>
  <c r="K52" i="2"/>
  <c r="K54" i="2"/>
  <c r="BI55" i="2" s="1"/>
  <c r="K48" i="2"/>
  <c r="K47" i="2"/>
  <c r="K49" i="2"/>
  <c r="BI50" i="2" s="1"/>
  <c r="K43" i="2"/>
  <c r="K42" i="2"/>
  <c r="K44" i="2"/>
  <c r="BI45" i="2" s="1"/>
  <c r="K38" i="2"/>
  <c r="K37" i="2"/>
  <c r="K39" i="2"/>
  <c r="BI40" i="2" s="1"/>
  <c r="K33" i="2"/>
  <c r="K32" i="2"/>
  <c r="K34" i="2"/>
  <c r="BI35" i="2" s="1"/>
  <c r="K28" i="2"/>
  <c r="K27" i="2"/>
  <c r="K23" i="2"/>
  <c r="K22" i="2"/>
  <c r="K18" i="2"/>
  <c r="K17" i="2"/>
  <c r="K19" i="2"/>
  <c r="BI20" i="2" s="1"/>
  <c r="K13" i="2"/>
  <c r="K12" i="2"/>
  <c r="K14" i="2"/>
  <c r="BI15" i="2" s="1"/>
  <c r="K8" i="2"/>
  <c r="BI8" i="2" s="1"/>
  <c r="K7" i="2"/>
  <c r="BI7" i="2" s="1"/>
  <c r="K9" i="2"/>
  <c r="BI10" i="2" s="1"/>
  <c r="K3" i="2"/>
  <c r="BI3" i="2" s="1"/>
  <c r="K2" i="2"/>
  <c r="BI2" i="2" s="1"/>
  <c r="K4" i="2"/>
  <c r="BI5" i="2" s="1"/>
  <c r="Z45" i="4"/>
  <c r="Z44" i="4"/>
  <c r="Z43" i="4"/>
  <c r="Z42" i="4"/>
  <c r="Z40" i="4"/>
  <c r="Z39" i="4"/>
  <c r="Z38" i="4"/>
  <c r="Z37" i="4"/>
  <c r="Z36" i="4"/>
  <c r="Z35" i="4"/>
  <c r="Z34" i="4"/>
  <c r="Z32" i="4"/>
  <c r="Z31" i="4"/>
  <c r="Z30" i="4"/>
  <c r="G91" i="4"/>
  <c r="G90" i="4"/>
  <c r="G89" i="4"/>
  <c r="Z89" i="4" s="1"/>
  <c r="Z23" i="4"/>
  <c r="G88" i="4"/>
  <c r="Z88" i="4" s="1"/>
  <c r="Z22" i="4"/>
  <c r="G87" i="4"/>
  <c r="Z87" i="4" s="1"/>
  <c r="Z21" i="4"/>
  <c r="G86" i="4"/>
  <c r="Z86" i="4" s="1"/>
  <c r="Z20" i="4"/>
  <c r="G85" i="4"/>
  <c r="G84" i="4"/>
  <c r="Z84" i="4" s="1"/>
  <c r="Z18" i="4"/>
  <c r="G83" i="4"/>
  <c r="G82" i="4"/>
  <c r="Z82" i="4" s="1"/>
  <c r="Z16" i="4"/>
  <c r="G81" i="4"/>
  <c r="G80" i="4"/>
  <c r="Z80" i="4" s="1"/>
  <c r="Z14" i="4"/>
  <c r="G79" i="4"/>
  <c r="Z79" i="4" s="1"/>
  <c r="Z13" i="4"/>
  <c r="G78" i="4"/>
  <c r="Z12" i="4"/>
  <c r="D77" i="4"/>
  <c r="W77" i="4" s="1"/>
  <c r="G76" i="4"/>
  <c r="Z76" i="4" s="1"/>
  <c r="Z10" i="4"/>
  <c r="G74" i="4"/>
  <c r="Z8" i="4"/>
  <c r="G73" i="4"/>
  <c r="Z73" i="4" s="1"/>
  <c r="G72" i="4"/>
  <c r="Z72" i="4" s="1"/>
  <c r="Z6" i="4"/>
  <c r="G71" i="4"/>
  <c r="Z5" i="4"/>
  <c r="G70" i="4"/>
  <c r="Z70" i="4" s="1"/>
  <c r="G69" i="4"/>
  <c r="Z69" i="4" s="1"/>
  <c r="X35" i="4"/>
  <c r="W33" i="4"/>
  <c r="Z91" i="4"/>
  <c r="Z78" i="4"/>
  <c r="L26" i="1"/>
  <c r="L66" i="1"/>
  <c r="BU66" i="1" s="1"/>
  <c r="X26" i="1"/>
  <c r="AV31" i="1"/>
  <c r="AJ106" i="1"/>
  <c r="L6" i="1"/>
  <c r="X126" i="1"/>
  <c r="X95" i="1"/>
  <c r="L36" i="1"/>
  <c r="L76" i="1"/>
  <c r="X6" i="1"/>
  <c r="X36" i="1"/>
  <c r="AV41" i="1"/>
  <c r="L11" i="1"/>
  <c r="X111" i="1"/>
  <c r="AJ121" i="1"/>
  <c r="L46" i="1"/>
  <c r="AJ26" i="1"/>
  <c r="X136" i="1"/>
  <c r="L21" i="1"/>
  <c r="L61" i="1"/>
  <c r="X21" i="1"/>
  <c r="AV26" i="1"/>
  <c r="BH21" i="1"/>
  <c r="AJ126" i="1"/>
  <c r="AV116" i="1"/>
  <c r="L51" i="1"/>
  <c r="AJ136" i="1"/>
  <c r="AJ111" i="1"/>
  <c r="L81" i="1"/>
  <c r="X11" i="1"/>
  <c r="AJ21" i="1"/>
  <c r="AV46" i="1"/>
  <c r="X131" i="1"/>
  <c r="L41" i="1"/>
  <c r="L16" i="1"/>
  <c r="L56" i="1"/>
  <c r="X16" i="1"/>
  <c r="AV61" i="1"/>
  <c r="AJ131" i="1"/>
  <c r="AJ26" i="3"/>
  <c r="AJ41" i="3"/>
  <c r="X21" i="3"/>
  <c r="L16" i="3"/>
  <c r="X41" i="3"/>
  <c r="AJ31" i="3"/>
  <c r="AJ21" i="3"/>
  <c r="AJ36" i="3"/>
  <c r="X26" i="3"/>
  <c r="X16" i="3"/>
  <c r="X36" i="3"/>
  <c r="X11" i="3"/>
  <c r="Z85" i="4"/>
  <c r="BH26" i="1"/>
  <c r="AV56" i="1"/>
  <c r="AV21" i="1"/>
  <c r="AV36" i="1"/>
  <c r="AV51" i="1"/>
  <c r="X105" i="1"/>
  <c r="Z47" i="4"/>
  <c r="Z101" i="4"/>
  <c r="Z52" i="4"/>
  <c r="Z102" i="4"/>
  <c r="Z100" i="4"/>
  <c r="Z90" i="4"/>
  <c r="Z94" i="4"/>
  <c r="Z103" i="4"/>
  <c r="Z105" i="4"/>
  <c r="Z53" i="4"/>
  <c r="G77" i="4"/>
  <c r="Z77" i="4" s="1"/>
  <c r="K24" i="2"/>
  <c r="BI25" i="2" s="1"/>
  <c r="K29" i="2"/>
  <c r="BI30" i="2" s="1"/>
  <c r="K64" i="2"/>
  <c r="K69" i="2"/>
  <c r="L69" i="2"/>
  <c r="L67" i="2"/>
  <c r="K74" i="2"/>
  <c r="L74" i="2"/>
  <c r="L72" i="2"/>
  <c r="G18" i="12" l="1"/>
  <c r="G19" i="12"/>
  <c r="G20" i="12"/>
  <c r="G21" i="12"/>
  <c r="G22" i="12"/>
  <c r="G23" i="12"/>
  <c r="G24" i="12"/>
  <c r="G25" i="12"/>
  <c r="G26" i="12"/>
  <c r="G17" i="12"/>
  <c r="BD11" i="7"/>
  <c r="AR57" i="6"/>
  <c r="Z3" i="4"/>
  <c r="Z55" i="4"/>
  <c r="Q113" i="6"/>
  <c r="AI117" i="6" s="1"/>
  <c r="AI118" i="6" s="1"/>
  <c r="Y113" i="6"/>
  <c r="Y116" i="6" s="1"/>
  <c r="M120" i="6"/>
  <c r="X118" i="6"/>
  <c r="X119" i="6"/>
  <c r="M125" i="6"/>
  <c r="X123" i="6"/>
  <c r="X124" i="6"/>
  <c r="M130" i="6"/>
  <c r="X129" i="6"/>
  <c r="X128" i="6"/>
  <c r="AO160" i="6"/>
  <c r="AO161" i="6"/>
  <c r="AQ161" i="6" s="1"/>
  <c r="AR161" i="6" s="1"/>
  <c r="AO163" i="6"/>
  <c r="AO166" i="6"/>
  <c r="AO165" i="6"/>
  <c r="AQ164" i="6" s="1"/>
  <c r="AR164" i="6" s="1"/>
  <c r="AO164" i="6"/>
  <c r="AQ163" i="6" s="1"/>
  <c r="AR163" i="6" s="1"/>
  <c r="AO162" i="6"/>
  <c r="AQ162" i="6" s="1"/>
  <c r="AR162" i="6" s="1"/>
  <c r="R58" i="6"/>
  <c r="AO55" i="6" s="1"/>
  <c r="AQ55" i="6" s="1"/>
  <c r="AR55" i="6" s="1"/>
  <c r="S58" i="6"/>
  <c r="AO58" i="6" s="1"/>
  <c r="T58" i="6"/>
  <c r="U58" i="6"/>
  <c r="V58" i="6"/>
  <c r="W58" i="6"/>
  <c r="X58" i="6"/>
  <c r="R59" i="6"/>
  <c r="AO56" i="6" s="1"/>
  <c r="S59" i="6"/>
  <c r="T59" i="6"/>
  <c r="U59" i="6"/>
  <c r="V59" i="6"/>
  <c r="W59" i="6"/>
  <c r="X59" i="6"/>
  <c r="Q59" i="6"/>
  <c r="AO53" i="6" s="1"/>
  <c r="Q58" i="6"/>
  <c r="AO54" i="6" s="1"/>
  <c r="Y59" i="6"/>
  <c r="Y58" i="6"/>
  <c r="Y61" i="6" s="1"/>
  <c r="Q63" i="6"/>
  <c r="R63" i="6"/>
  <c r="S63" i="6"/>
  <c r="T63" i="6"/>
  <c r="U63" i="6"/>
  <c r="V63" i="6"/>
  <c r="W63" i="6"/>
  <c r="X63" i="6"/>
  <c r="R64" i="6"/>
  <c r="S64" i="6"/>
  <c r="T64" i="6"/>
  <c r="U64" i="6"/>
  <c r="V64" i="6"/>
  <c r="W64" i="6"/>
  <c r="X64" i="6"/>
  <c r="Q64" i="6"/>
  <c r="Y63" i="6"/>
  <c r="Y64" i="6"/>
  <c r="R68" i="6"/>
  <c r="S68" i="6"/>
  <c r="T68" i="6"/>
  <c r="U68" i="6"/>
  <c r="V68" i="6"/>
  <c r="W68" i="6"/>
  <c r="X68" i="6"/>
  <c r="R69" i="6"/>
  <c r="S69" i="6"/>
  <c r="T69" i="6"/>
  <c r="U69" i="6"/>
  <c r="V69" i="6"/>
  <c r="W69" i="6"/>
  <c r="X69" i="6"/>
  <c r="Q69" i="6"/>
  <c r="Q68" i="6"/>
  <c r="Y69" i="6"/>
  <c r="Y68" i="6"/>
  <c r="Y71" i="6" s="1"/>
  <c r="R73" i="6"/>
  <c r="S73" i="6"/>
  <c r="T73" i="6"/>
  <c r="U73" i="6"/>
  <c r="V73" i="6"/>
  <c r="W73" i="6"/>
  <c r="X73" i="6"/>
  <c r="R74" i="6"/>
  <c r="S74" i="6"/>
  <c r="T74" i="6"/>
  <c r="U74" i="6"/>
  <c r="V74" i="6"/>
  <c r="W74" i="6"/>
  <c r="X74" i="6"/>
  <c r="Q74" i="6"/>
  <c r="Q73" i="6"/>
  <c r="Y74" i="6"/>
  <c r="Y73" i="6"/>
  <c r="Y76" i="6" s="1"/>
  <c r="R78" i="6"/>
  <c r="AC93" i="6" s="1"/>
  <c r="S78" i="6"/>
  <c r="T78" i="6"/>
  <c r="U78" i="6"/>
  <c r="V78" i="6"/>
  <c r="W78" i="6"/>
  <c r="AC89" i="6" s="1"/>
  <c r="AE89" i="6" s="1"/>
  <c r="AF89" i="6" s="1"/>
  <c r="X78" i="6"/>
  <c r="R79" i="6"/>
  <c r="S79" i="6"/>
  <c r="T79" i="6"/>
  <c r="U79" i="6"/>
  <c r="V79" i="6"/>
  <c r="W79" i="6"/>
  <c r="X79" i="6"/>
  <c r="Q79" i="6"/>
  <c r="Q78" i="6"/>
  <c r="Y79" i="6"/>
  <c r="Y78" i="6"/>
  <c r="Y81" i="6" s="1"/>
  <c r="Q83" i="6"/>
  <c r="R83" i="6"/>
  <c r="S83" i="6"/>
  <c r="T83" i="6"/>
  <c r="U83" i="6"/>
  <c r="V83" i="6"/>
  <c r="W83" i="6"/>
  <c r="X83" i="6"/>
  <c r="R84" i="6"/>
  <c r="S84" i="6"/>
  <c r="T84" i="6"/>
  <c r="U84" i="6"/>
  <c r="V84" i="6"/>
  <c r="W84" i="6"/>
  <c r="X84" i="6"/>
  <c r="Q84" i="6"/>
  <c r="Y84" i="6"/>
  <c r="Y83" i="6"/>
  <c r="R88" i="6"/>
  <c r="S88" i="6"/>
  <c r="T88" i="6"/>
  <c r="U88" i="6"/>
  <c r="V88" i="6"/>
  <c r="W88" i="6"/>
  <c r="X88" i="6"/>
  <c r="R89" i="6"/>
  <c r="S89" i="6"/>
  <c r="T89" i="6"/>
  <c r="U89" i="6"/>
  <c r="V89" i="6"/>
  <c r="W89" i="6"/>
  <c r="X89" i="6"/>
  <c r="Q89" i="6"/>
  <c r="Z89" i="6" s="1"/>
  <c r="Q88" i="6"/>
  <c r="Y89" i="6"/>
  <c r="Y88" i="6"/>
  <c r="Y91" i="6" s="1"/>
  <c r="R93" i="6"/>
  <c r="S93" i="6"/>
  <c r="T93" i="6"/>
  <c r="U93" i="6"/>
  <c r="V93" i="6"/>
  <c r="W93" i="6"/>
  <c r="X93" i="6"/>
  <c r="R94" i="6"/>
  <c r="S94" i="6"/>
  <c r="T94" i="6"/>
  <c r="U94" i="6"/>
  <c r="V94" i="6"/>
  <c r="W94" i="6"/>
  <c r="X94" i="6"/>
  <c r="Q94" i="6"/>
  <c r="Q93" i="6"/>
  <c r="Y94" i="6"/>
  <c r="Y93" i="6"/>
  <c r="Y96" i="6" s="1"/>
  <c r="R98" i="6"/>
  <c r="S98" i="6"/>
  <c r="T98" i="6"/>
  <c r="U98" i="6"/>
  <c r="V98" i="6"/>
  <c r="W98" i="6"/>
  <c r="X98" i="6"/>
  <c r="R99" i="6"/>
  <c r="S99" i="6"/>
  <c r="T99" i="6"/>
  <c r="U99" i="6"/>
  <c r="V99" i="6"/>
  <c r="W99" i="6"/>
  <c r="X99" i="6"/>
  <c r="Q99" i="6"/>
  <c r="Q98" i="6"/>
  <c r="Y99" i="6"/>
  <c r="Y98" i="6"/>
  <c r="Y101" i="6" s="1"/>
  <c r="R103" i="6"/>
  <c r="S103" i="6"/>
  <c r="T103" i="6"/>
  <c r="U103" i="6"/>
  <c r="V103" i="6"/>
  <c r="W103" i="6"/>
  <c r="X103" i="6"/>
  <c r="R104" i="6"/>
  <c r="S104" i="6"/>
  <c r="T104" i="6"/>
  <c r="U104" i="6"/>
  <c r="V104" i="6"/>
  <c r="W104" i="6"/>
  <c r="X104" i="6"/>
  <c r="Q104" i="6"/>
  <c r="Q103" i="6"/>
  <c r="Y104" i="6"/>
  <c r="Y103" i="6"/>
  <c r="R108" i="6"/>
  <c r="S108" i="6"/>
  <c r="T108" i="6"/>
  <c r="U108" i="6"/>
  <c r="V108" i="6"/>
  <c r="W108" i="6"/>
  <c r="X108" i="6"/>
  <c r="R109" i="6"/>
  <c r="S109" i="6"/>
  <c r="T109" i="6"/>
  <c r="U109" i="6"/>
  <c r="V109" i="6"/>
  <c r="W109" i="6"/>
  <c r="X109" i="6"/>
  <c r="Q109" i="6"/>
  <c r="Z109" i="6" s="1"/>
  <c r="Q108" i="6"/>
  <c r="Y109" i="6"/>
  <c r="Y108" i="6"/>
  <c r="Y111" i="6" s="1"/>
  <c r="R113" i="6"/>
  <c r="S113" i="6"/>
  <c r="AI119" i="6" s="1"/>
  <c r="T113" i="6"/>
  <c r="AI121" i="6" s="1"/>
  <c r="U113" i="6"/>
  <c r="V113" i="6"/>
  <c r="W113" i="6"/>
  <c r="AI122" i="6" s="1"/>
  <c r="X113" i="6"/>
  <c r="R114" i="6"/>
  <c r="S114" i="6"/>
  <c r="T114" i="6"/>
  <c r="U114" i="6"/>
  <c r="V114" i="6"/>
  <c r="W114" i="6"/>
  <c r="X114" i="6"/>
  <c r="Q114" i="6"/>
  <c r="Y114" i="6"/>
  <c r="X131" i="6"/>
  <c r="R133" i="6"/>
  <c r="S133" i="6"/>
  <c r="T133" i="6"/>
  <c r="AO133" i="6" s="1"/>
  <c r="U133" i="6"/>
  <c r="AO131" i="6" s="1"/>
  <c r="AQ133" i="6" s="1"/>
  <c r="AR133" i="6" s="1"/>
  <c r="V133" i="6"/>
  <c r="W133" i="6"/>
  <c r="AO132" i="6" s="1"/>
  <c r="AQ132" i="6" s="1"/>
  <c r="AR132" i="6" s="1"/>
  <c r="X133" i="6"/>
  <c r="R134" i="6"/>
  <c r="S134" i="6"/>
  <c r="T134" i="6"/>
  <c r="U134" i="6"/>
  <c r="V134" i="6"/>
  <c r="W134" i="6"/>
  <c r="X134" i="6"/>
  <c r="Q134" i="6"/>
  <c r="R138" i="6"/>
  <c r="S138" i="6"/>
  <c r="T138" i="6"/>
  <c r="AC151" i="6" s="1"/>
  <c r="AE151" i="6" s="1"/>
  <c r="AF151" i="6" s="1"/>
  <c r="U138" i="6"/>
  <c r="V138" i="6"/>
  <c r="W138" i="6"/>
  <c r="X138" i="6"/>
  <c r="R139" i="6"/>
  <c r="S139" i="6"/>
  <c r="T139" i="6"/>
  <c r="U139" i="6"/>
  <c r="V139" i="6"/>
  <c r="W139" i="6"/>
  <c r="X139" i="6"/>
  <c r="Q139" i="6"/>
  <c r="Q138" i="6"/>
  <c r="Y139" i="6"/>
  <c r="Y138" i="6"/>
  <c r="Y141" i="6" s="1"/>
  <c r="R148" i="6"/>
  <c r="AO151" i="6" s="1"/>
  <c r="AQ150" i="6" s="1"/>
  <c r="AR150" i="6" s="1"/>
  <c r="S148" i="6"/>
  <c r="T148" i="6"/>
  <c r="AO149" i="6" s="1"/>
  <c r="AQ148" i="6" s="1"/>
  <c r="AR148" i="6" s="1"/>
  <c r="U148" i="6"/>
  <c r="V148" i="6"/>
  <c r="W148" i="6"/>
  <c r="X148" i="6"/>
  <c r="R149" i="6"/>
  <c r="S149" i="6"/>
  <c r="T149" i="6"/>
  <c r="U149" i="6"/>
  <c r="V149" i="6"/>
  <c r="W149" i="6"/>
  <c r="X149" i="6"/>
  <c r="Q149" i="6"/>
  <c r="Q148" i="6"/>
  <c r="Y149" i="6"/>
  <c r="Y148" i="6"/>
  <c r="Y151" i="6" s="1"/>
  <c r="R153" i="6"/>
  <c r="S153" i="6"/>
  <c r="T153" i="6"/>
  <c r="U153" i="6"/>
  <c r="V153" i="6"/>
  <c r="W153" i="6"/>
  <c r="AC160" i="6" s="1"/>
  <c r="X153" i="6"/>
  <c r="R154" i="6"/>
  <c r="S154" i="6"/>
  <c r="T154" i="6"/>
  <c r="U154" i="6"/>
  <c r="V154" i="6"/>
  <c r="W154" i="6"/>
  <c r="X154" i="6"/>
  <c r="Q154" i="6"/>
  <c r="Q153" i="6"/>
  <c r="Y154" i="6"/>
  <c r="Y153" i="6"/>
  <c r="R158" i="6"/>
  <c r="S158" i="6"/>
  <c r="AI161" i="6" s="1"/>
  <c r="AK161" i="6" s="1"/>
  <c r="AL161" i="6" s="1"/>
  <c r="T158" i="6"/>
  <c r="U158" i="6"/>
  <c r="V158" i="6"/>
  <c r="W158" i="6"/>
  <c r="X158" i="6"/>
  <c r="R159" i="6"/>
  <c r="S159" i="6"/>
  <c r="T159" i="6"/>
  <c r="U159" i="6"/>
  <c r="V159" i="6"/>
  <c r="W159" i="6"/>
  <c r="X159" i="6"/>
  <c r="Q159" i="6"/>
  <c r="Q158" i="6"/>
  <c r="Y159" i="6"/>
  <c r="Y158" i="6"/>
  <c r="Y161" i="6" s="1"/>
  <c r="Y134" i="6"/>
  <c r="Y133" i="6"/>
  <c r="Y136" i="6" s="1"/>
  <c r="X126" i="6"/>
  <c r="AJ275" i="2"/>
  <c r="BH272" i="2"/>
  <c r="BH275" i="2" s="1"/>
  <c r="BH285" i="2"/>
  <c r="BH280" i="2"/>
  <c r="AJ290" i="2"/>
  <c r="BH287" i="2"/>
  <c r="BH290" i="2" s="1"/>
  <c r="AJ295" i="2"/>
  <c r="BH292" i="2"/>
  <c r="BH295" i="2" s="1"/>
  <c r="AJ300" i="2"/>
  <c r="BH297" i="2"/>
  <c r="BH300" i="2" s="1"/>
  <c r="BH305" i="2"/>
  <c r="BH310" i="2"/>
  <c r="BH315" i="2"/>
  <c r="AV265" i="2"/>
  <c r="AQ6" i="6"/>
  <c r="AR6" i="6" s="1"/>
  <c r="AY24" i="6" s="1"/>
  <c r="BT58" i="1"/>
  <c r="BU61" i="1"/>
  <c r="AJ11" i="1"/>
  <c r="BU11" i="1" s="1"/>
  <c r="BU8" i="1"/>
  <c r="BT60" i="1"/>
  <c r="BT59" i="1"/>
  <c r="BT61" i="1"/>
  <c r="BT55" i="1"/>
  <c r="BT54" i="1"/>
  <c r="BT53" i="1"/>
  <c r="BT56" i="1" s="1"/>
  <c r="BT50" i="1"/>
  <c r="BT49" i="1"/>
  <c r="BT51" i="1"/>
  <c r="BT45" i="1"/>
  <c r="BT44" i="1"/>
  <c r="BT43" i="1"/>
  <c r="BT46" i="1" s="1"/>
  <c r="BT40" i="1"/>
  <c r="BT39" i="1"/>
  <c r="BT38" i="1"/>
  <c r="BT41" i="1" s="1"/>
  <c r="BT35" i="1"/>
  <c r="BT34" i="1"/>
  <c r="BT33" i="1"/>
  <c r="BT36" i="1" s="1"/>
  <c r="BT30" i="1"/>
  <c r="BT29" i="1"/>
  <c r="BT28" i="1"/>
  <c r="BT31" i="1" s="1"/>
  <c r="BT25" i="1"/>
  <c r="BT24" i="1"/>
  <c r="BT23" i="1"/>
  <c r="BT26" i="1" s="1"/>
  <c r="BT20" i="1"/>
  <c r="BT19" i="1"/>
  <c r="BT18" i="1"/>
  <c r="BT21" i="1" s="1"/>
  <c r="BT80" i="1"/>
  <c r="BT79" i="1"/>
  <c r="BT78" i="1"/>
  <c r="BT81" i="1" s="1"/>
  <c r="BT75" i="1"/>
  <c r="BT74" i="1"/>
  <c r="BT73" i="1"/>
  <c r="BT76" i="1" s="1"/>
  <c r="BT70" i="1"/>
  <c r="BT69" i="1"/>
  <c r="BT68" i="1"/>
  <c r="BT71" i="1" s="1"/>
  <c r="BT65" i="1"/>
  <c r="BT64" i="1"/>
  <c r="BT63" i="1"/>
  <c r="BT66" i="1" s="1"/>
  <c r="BT15" i="1"/>
  <c r="BT14" i="1"/>
  <c r="BT13" i="1"/>
  <c r="BT16" i="1" s="1"/>
  <c r="BI132" i="2"/>
  <c r="BI133" i="2"/>
  <c r="BI134" i="2"/>
  <c r="BT10" i="1"/>
  <c r="BT9" i="1"/>
  <c r="BT11" i="1"/>
  <c r="AI68" i="6"/>
  <c r="AK58" i="6" s="1"/>
  <c r="AL58" i="6" s="1"/>
  <c r="AI57" i="6"/>
  <c r="AI67" i="6"/>
  <c r="AK56" i="6" s="1"/>
  <c r="AL56" i="6" s="1"/>
  <c r="AI66" i="6"/>
  <c r="AI65" i="6"/>
  <c r="AI64" i="6"/>
  <c r="AK57" i="6" s="1"/>
  <c r="AL57" i="6" s="1"/>
  <c r="AI54" i="6"/>
  <c r="AI63" i="6"/>
  <c r="AK55" i="6" s="1"/>
  <c r="AL55" i="6" s="1"/>
  <c r="AI62" i="6"/>
  <c r="AI61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52" i="6"/>
  <c r="BL53" i="6"/>
  <c r="BL54" i="6"/>
  <c r="BL55" i="6"/>
  <c r="BL56" i="6"/>
  <c r="BL57" i="6"/>
  <c r="BL58" i="6"/>
  <c r="BL59" i="6"/>
  <c r="BL60" i="6"/>
  <c r="BL61" i="6"/>
  <c r="BL62" i="6"/>
  <c r="BL63" i="6"/>
  <c r="BL64" i="6"/>
  <c r="BL65" i="6"/>
  <c r="BL66" i="6"/>
  <c r="BL67" i="6"/>
  <c r="BL68" i="6"/>
  <c r="BL69" i="6"/>
  <c r="BL70" i="6"/>
  <c r="BL71" i="6"/>
  <c r="BL72" i="6"/>
  <c r="BL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52" i="6"/>
  <c r="BJ53" i="6"/>
  <c r="BJ54" i="6"/>
  <c r="BJ55" i="6"/>
  <c r="BJ56" i="6"/>
  <c r="BJ57" i="6"/>
  <c r="BJ58" i="6"/>
  <c r="BJ59" i="6"/>
  <c r="BJ60" i="6"/>
  <c r="BJ61" i="6"/>
  <c r="BJ62" i="6"/>
  <c r="BJ63" i="6"/>
  <c r="BJ64" i="6"/>
  <c r="BJ65" i="6"/>
  <c r="BJ66" i="6"/>
  <c r="BJ67" i="6"/>
  <c r="BJ68" i="6"/>
  <c r="BJ69" i="6"/>
  <c r="BJ70" i="6"/>
  <c r="BJ71" i="6"/>
  <c r="BJ72" i="6"/>
  <c r="BJ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BI65" i="6"/>
  <c r="BI66" i="6"/>
  <c r="BI67" i="6"/>
  <c r="BI68" i="6"/>
  <c r="BI69" i="6"/>
  <c r="BI70" i="6"/>
  <c r="BI71" i="6"/>
  <c r="BI72" i="6"/>
  <c r="BI52" i="6"/>
  <c r="BH53" i="6"/>
  <c r="BH54" i="6"/>
  <c r="BH55" i="6"/>
  <c r="BH56" i="6"/>
  <c r="BH57" i="6"/>
  <c r="BH58" i="6"/>
  <c r="BH59" i="6"/>
  <c r="BH60" i="6"/>
  <c r="BH61" i="6"/>
  <c r="BH62" i="6"/>
  <c r="BH63" i="6"/>
  <c r="BH64" i="6"/>
  <c r="BH65" i="6"/>
  <c r="BH66" i="6"/>
  <c r="BH67" i="6"/>
  <c r="BH68" i="6"/>
  <c r="BH69" i="6"/>
  <c r="BH70" i="6"/>
  <c r="BH71" i="6"/>
  <c r="BH72" i="6"/>
  <c r="BH52" i="6"/>
  <c r="BG53" i="6"/>
  <c r="BG54" i="6"/>
  <c r="BG55" i="6"/>
  <c r="BG56" i="6"/>
  <c r="BG57" i="6"/>
  <c r="BG58" i="6"/>
  <c r="BG59" i="6"/>
  <c r="BG60" i="6"/>
  <c r="BG61" i="6"/>
  <c r="BG62" i="6"/>
  <c r="BG63" i="6"/>
  <c r="BG64" i="6"/>
  <c r="BG65" i="6"/>
  <c r="BG66" i="6"/>
  <c r="BG67" i="6"/>
  <c r="BG68" i="6"/>
  <c r="BG69" i="6"/>
  <c r="BG70" i="6"/>
  <c r="BG71" i="6"/>
  <c r="BG72" i="6"/>
  <c r="BG52" i="6"/>
  <c r="BF53" i="6"/>
  <c r="BF54" i="6"/>
  <c r="BF55" i="6"/>
  <c r="BF56" i="6"/>
  <c r="BF57" i="6"/>
  <c r="BF58" i="6"/>
  <c r="BF59" i="6"/>
  <c r="BF60" i="6"/>
  <c r="BF61" i="6"/>
  <c r="BF62" i="6"/>
  <c r="BF63" i="6"/>
  <c r="BF64" i="6"/>
  <c r="BF65" i="6"/>
  <c r="BF66" i="6"/>
  <c r="BF67" i="6"/>
  <c r="BF68" i="6"/>
  <c r="BF69" i="6"/>
  <c r="BF70" i="6"/>
  <c r="BF71" i="6"/>
  <c r="BF72" i="6"/>
  <c r="BF52" i="6"/>
  <c r="BE53" i="6"/>
  <c r="BE54" i="6"/>
  <c r="BE55" i="6"/>
  <c r="BE56" i="6"/>
  <c r="BE57" i="6"/>
  <c r="BE58" i="6"/>
  <c r="BE59" i="6"/>
  <c r="BE60" i="6"/>
  <c r="BE61" i="6"/>
  <c r="BE62" i="6"/>
  <c r="BE63" i="6"/>
  <c r="BE64" i="6"/>
  <c r="BE65" i="6"/>
  <c r="BE66" i="6"/>
  <c r="BE67" i="6"/>
  <c r="BE68" i="6"/>
  <c r="BE69" i="6"/>
  <c r="BE70" i="6"/>
  <c r="BE71" i="6"/>
  <c r="BE72" i="6"/>
  <c r="BE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52" i="6"/>
  <c r="AY53" i="6"/>
  <c r="AY54" i="6"/>
  <c r="AY55" i="6"/>
  <c r="AY56" i="6"/>
  <c r="AY57" i="6"/>
  <c r="AY58" i="6"/>
  <c r="AY59" i="6"/>
  <c r="AY60" i="6"/>
  <c r="AY61" i="6"/>
  <c r="AY62" i="6"/>
  <c r="AY63" i="6"/>
  <c r="AY64" i="6"/>
  <c r="AY65" i="6"/>
  <c r="AY66" i="6"/>
  <c r="AY67" i="6"/>
  <c r="AY68" i="6"/>
  <c r="AY69" i="6"/>
  <c r="AY70" i="6"/>
  <c r="AY71" i="6"/>
  <c r="AY72" i="6"/>
  <c r="AY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E56" i="6"/>
  <c r="AF56" i="6" s="1"/>
  <c r="AC55" i="6"/>
  <c r="AC54" i="6"/>
  <c r="AE57" i="6" s="1"/>
  <c r="AF57" i="6" s="1"/>
  <c r="AC61" i="6"/>
  <c r="AE58" i="6" s="1"/>
  <c r="AF58" i="6" s="1"/>
  <c r="AC60" i="6"/>
  <c r="AC43" i="6"/>
  <c r="AC42" i="6"/>
  <c r="AE34" i="6" s="1"/>
  <c r="AF34" i="6" s="1"/>
  <c r="AI50" i="6"/>
  <c r="AI49" i="6"/>
  <c r="AI40" i="6"/>
  <c r="AK35" i="6" s="1"/>
  <c r="AL35" i="6" s="1"/>
  <c r="AI39" i="6"/>
  <c r="AI34" i="6"/>
  <c r="AI35" i="6"/>
  <c r="AI46" i="6"/>
  <c r="AI45" i="6"/>
  <c r="AK38" i="6" s="1"/>
  <c r="AL38" i="6" s="1"/>
  <c r="AK36" i="6"/>
  <c r="AL36" i="6" s="1"/>
  <c r="AI37" i="6"/>
  <c r="AI36" i="6"/>
  <c r="AI51" i="6"/>
  <c r="AK37" i="6"/>
  <c r="AL37" i="6" s="1"/>
  <c r="AO35" i="6"/>
  <c r="AO34" i="6"/>
  <c r="AO33" i="6"/>
  <c r="AO37" i="6"/>
  <c r="AQ35" i="6" s="1"/>
  <c r="AR35" i="6" s="1"/>
  <c r="AO36" i="6"/>
  <c r="AO41" i="6"/>
  <c r="AO42" i="6"/>
  <c r="AO39" i="6"/>
  <c r="AQ33" i="6" s="1"/>
  <c r="AO38" i="6"/>
  <c r="AC36" i="6"/>
  <c r="AC34" i="6"/>
  <c r="AI2" i="6"/>
  <c r="AI4" i="6"/>
  <c r="AI3" i="6"/>
  <c r="AK3" i="6" s="1"/>
  <c r="AL3" i="6" s="1"/>
  <c r="AX8" i="6" s="1"/>
  <c r="AI5" i="6"/>
  <c r="AK4" i="6" s="1"/>
  <c r="AL4" i="6" s="1"/>
  <c r="AX13" i="6" s="1"/>
  <c r="AI6" i="6"/>
  <c r="AI11" i="6"/>
  <c r="AI10" i="6"/>
  <c r="AO3" i="6"/>
  <c r="AQ3" i="6" s="1"/>
  <c r="AR3" i="6" s="1"/>
  <c r="AY5" i="6" s="1"/>
  <c r="AO11" i="6"/>
  <c r="AO10" i="6"/>
  <c r="AQ2" i="6" s="1"/>
  <c r="AC20" i="6"/>
  <c r="AC19" i="6"/>
  <c r="AE18" i="6" s="1"/>
  <c r="AC18" i="6"/>
  <c r="AE19" i="6"/>
  <c r="AF19" i="6" s="1"/>
  <c r="AZ11" i="6" s="1"/>
  <c r="AI20" i="6"/>
  <c r="AK23" i="6" s="1"/>
  <c r="AL23" i="6" s="1"/>
  <c r="BA22" i="6" s="1"/>
  <c r="AI19" i="6"/>
  <c r="AK20" i="6" s="1"/>
  <c r="AL20" i="6" s="1"/>
  <c r="BA12" i="6" s="1"/>
  <c r="AI18" i="6"/>
  <c r="AK18" i="6"/>
  <c r="AO20" i="6"/>
  <c r="AO19" i="6"/>
  <c r="AO18" i="6"/>
  <c r="AO27" i="6"/>
  <c r="AQ21" i="6" s="1"/>
  <c r="AR21" i="6" s="1"/>
  <c r="BB16" i="6" s="1"/>
  <c r="AO26" i="6"/>
  <c r="AC6" i="6"/>
  <c r="AC5" i="6"/>
  <c r="AE2" i="6" s="1"/>
  <c r="AC4" i="6"/>
  <c r="AE3" i="6" s="1"/>
  <c r="AF3" i="6" s="1"/>
  <c r="AC12" i="6"/>
  <c r="Y6" i="6"/>
  <c r="BT4" i="1"/>
  <c r="BT3" i="1"/>
  <c r="BT6" i="1"/>
  <c r="Z81" i="4"/>
  <c r="Z83" i="4"/>
  <c r="Z27" i="4"/>
  <c r="AJ285" i="2"/>
  <c r="AJ280" i="2"/>
  <c r="Z71" i="4"/>
  <c r="Z75" i="4"/>
  <c r="Z95" i="4"/>
  <c r="Z26" i="4"/>
  <c r="Z74" i="4"/>
  <c r="Z49" i="4"/>
  <c r="Z93" i="4"/>
  <c r="Z118" i="4"/>
  <c r="Z104" i="4"/>
  <c r="Z114" i="4" s="1"/>
  <c r="Z25" i="4"/>
  <c r="Z134" i="6" l="1"/>
  <c r="Z148" i="6"/>
  <c r="Y156" i="6"/>
  <c r="Z159" i="6"/>
  <c r="Z108" i="6"/>
  <c r="Z110" i="6" s="1"/>
  <c r="Z104" i="6"/>
  <c r="Z103" i="6"/>
  <c r="Z105" i="6" s="1"/>
  <c r="Y106" i="6"/>
  <c r="Z99" i="6"/>
  <c r="Z98" i="6"/>
  <c r="Z100" i="6" s="1"/>
  <c r="Z93" i="6"/>
  <c r="Z94" i="6"/>
  <c r="Z88" i="6"/>
  <c r="Z90" i="6" s="1"/>
  <c r="Z84" i="6"/>
  <c r="Y86" i="6"/>
  <c r="Z74" i="6"/>
  <c r="Z69" i="6"/>
  <c r="Z68" i="6"/>
  <c r="Z70" i="6" s="1"/>
  <c r="Z64" i="6"/>
  <c r="Z78" i="6"/>
  <c r="AC88" i="6"/>
  <c r="AE88" i="6" s="1"/>
  <c r="AF88" i="6" s="1"/>
  <c r="AC87" i="6"/>
  <c r="AE87" i="6" s="1"/>
  <c r="AF87" i="6" s="1"/>
  <c r="AC91" i="6"/>
  <c r="AE91" i="6" s="1"/>
  <c r="AF91" i="6" s="1"/>
  <c r="Z79" i="6"/>
  <c r="AC86" i="6"/>
  <c r="AE86" i="6" s="1"/>
  <c r="AF86" i="6" s="1"/>
  <c r="AC90" i="6"/>
  <c r="AE90" i="6" s="1"/>
  <c r="AF90" i="6" s="1"/>
  <c r="AC92" i="6"/>
  <c r="AE92" i="6" s="1"/>
  <c r="AF92" i="6" s="1"/>
  <c r="Z73" i="6"/>
  <c r="Z75" i="6" s="1"/>
  <c r="AO77" i="6"/>
  <c r="AQ76" i="6" s="1"/>
  <c r="AO76" i="6"/>
  <c r="AQ75" i="6" s="1"/>
  <c r="AO73" i="6"/>
  <c r="AQ72" i="6" s="1"/>
  <c r="AO74" i="6"/>
  <c r="AQ73" i="6" s="1"/>
  <c r="AO75" i="6"/>
  <c r="AQ74" i="6" s="1"/>
  <c r="Z96" i="4"/>
  <c r="AG9" i="4" s="1"/>
  <c r="AG11" i="4" s="1"/>
  <c r="Z66" i="4"/>
  <c r="R128" i="6"/>
  <c r="S128" i="6"/>
  <c r="T128" i="6"/>
  <c r="U128" i="6"/>
  <c r="V128" i="6"/>
  <c r="W128" i="6"/>
  <c r="R129" i="6"/>
  <c r="S129" i="6"/>
  <c r="T129" i="6"/>
  <c r="U129" i="6"/>
  <c r="V129" i="6"/>
  <c r="W129" i="6"/>
  <c r="Q129" i="6"/>
  <c r="Y129" i="6" s="1"/>
  <c r="Q128" i="6"/>
  <c r="Y128" i="6" s="1"/>
  <c r="Y130" i="6" s="1"/>
  <c r="R123" i="6"/>
  <c r="S123" i="6"/>
  <c r="T123" i="6"/>
  <c r="U123" i="6"/>
  <c r="V123" i="6"/>
  <c r="W123" i="6"/>
  <c r="R124" i="6"/>
  <c r="S124" i="6"/>
  <c r="T124" i="6"/>
  <c r="U124" i="6"/>
  <c r="V124" i="6"/>
  <c r="W124" i="6"/>
  <c r="Q124" i="6"/>
  <c r="Y124" i="6" s="1"/>
  <c r="Q123" i="6"/>
  <c r="Y123" i="6" s="1"/>
  <c r="Y125" i="6" s="1"/>
  <c r="X121" i="6"/>
  <c r="R118" i="6"/>
  <c r="S118" i="6"/>
  <c r="T118" i="6"/>
  <c r="U118" i="6"/>
  <c r="V118" i="6"/>
  <c r="W118" i="6"/>
  <c r="R119" i="6"/>
  <c r="S119" i="6"/>
  <c r="T119" i="6"/>
  <c r="U119" i="6"/>
  <c r="V119" i="6"/>
  <c r="W119" i="6"/>
  <c r="Q119" i="6"/>
  <c r="Y119" i="6" s="1"/>
  <c r="Q118" i="6"/>
  <c r="Y118" i="6" s="1"/>
  <c r="Y120" i="6" s="1"/>
  <c r="Z113" i="6"/>
  <c r="Z158" i="6"/>
  <c r="Z160" i="6" s="1"/>
  <c r="AI162" i="6"/>
  <c r="AI160" i="6"/>
  <c r="Z153" i="6"/>
  <c r="AC162" i="6"/>
  <c r="AE161" i="6" s="1"/>
  <c r="AF161" i="6" s="1"/>
  <c r="AC165" i="6"/>
  <c r="AE164" i="6" s="1"/>
  <c r="AF164" i="6" s="1"/>
  <c r="Z154" i="6"/>
  <c r="AC163" i="6"/>
  <c r="AE162" i="6" s="1"/>
  <c r="AF162" i="6" s="1"/>
  <c r="AC161" i="6"/>
  <c r="AC164" i="6"/>
  <c r="AE163" i="6" s="1"/>
  <c r="AF163" i="6" s="1"/>
  <c r="Z149" i="6"/>
  <c r="Z150" i="6" s="1"/>
  <c r="AO147" i="6"/>
  <c r="AO150" i="6"/>
  <c r="AO148" i="6"/>
  <c r="AQ147" i="6" s="1"/>
  <c r="AR147" i="6" s="1"/>
  <c r="AO167" i="6"/>
  <c r="AQ160" i="6"/>
  <c r="Z138" i="6"/>
  <c r="AC154" i="6"/>
  <c r="AE153" i="6" s="1"/>
  <c r="AF153" i="6" s="1"/>
  <c r="AC153" i="6"/>
  <c r="AE152" i="6" s="1"/>
  <c r="AF152" i="6" s="1"/>
  <c r="AC149" i="6"/>
  <c r="AC148" i="6"/>
  <c r="AE148" i="6" s="1"/>
  <c r="AF148" i="6" s="1"/>
  <c r="Z139" i="6"/>
  <c r="AC147" i="6"/>
  <c r="AE147" i="6" s="1"/>
  <c r="AF147" i="6" s="1"/>
  <c r="AC152" i="6"/>
  <c r="AC150" i="6"/>
  <c r="AE150" i="6" s="1"/>
  <c r="AF150" i="6" s="1"/>
  <c r="Z114" i="6"/>
  <c r="AI120" i="6"/>
  <c r="AE4" i="6"/>
  <c r="AF4" i="6" s="1"/>
  <c r="AK60" i="6"/>
  <c r="AL60" i="6" s="1"/>
  <c r="AK53" i="6"/>
  <c r="AO135" i="6"/>
  <c r="AQ131" i="6" s="1"/>
  <c r="AR131" i="6" s="1"/>
  <c r="AO136" i="6"/>
  <c r="AO134" i="6"/>
  <c r="Z133" i="6"/>
  <c r="Z135" i="6" s="1"/>
  <c r="Z83" i="6"/>
  <c r="Z85" i="6" s="1"/>
  <c r="Y66" i="6"/>
  <c r="Z63" i="6"/>
  <c r="Z65" i="6" s="1"/>
  <c r="Z58" i="6"/>
  <c r="Z59" i="6"/>
  <c r="AQ53" i="6"/>
  <c r="AR53" i="6" s="1"/>
  <c r="AK54" i="6"/>
  <c r="AL54" i="6" s="1"/>
  <c r="AI69" i="6"/>
  <c r="AE53" i="6"/>
  <c r="AF53" i="6" s="1"/>
  <c r="AF59" i="6" s="1"/>
  <c r="AC68" i="6"/>
  <c r="AC44" i="6"/>
  <c r="AE33" i="6"/>
  <c r="AR33" i="6"/>
  <c r="AQ36" i="6"/>
  <c r="AR36" i="6" s="1"/>
  <c r="AO48" i="6"/>
  <c r="AQ37" i="6"/>
  <c r="AR37" i="6" s="1"/>
  <c r="AQ34" i="6"/>
  <c r="AK34" i="6"/>
  <c r="AL34" i="6" s="1"/>
  <c r="AK33" i="6"/>
  <c r="AL33" i="6" s="1"/>
  <c r="AO28" i="6"/>
  <c r="AQ23" i="6"/>
  <c r="AR23" i="6" s="1"/>
  <c r="BB19" i="6" s="1"/>
  <c r="AQ18" i="6"/>
  <c r="AL18" i="6"/>
  <c r="BA4" i="6" s="1"/>
  <c r="AK19" i="6"/>
  <c r="AI30" i="6"/>
  <c r="AC29" i="6"/>
  <c r="AE20" i="6"/>
  <c r="AF20" i="6" s="1"/>
  <c r="AZ9" i="6" s="1"/>
  <c r="AF18" i="6"/>
  <c r="AE21" i="6"/>
  <c r="AR2" i="6"/>
  <c r="AO13" i="6"/>
  <c r="AQ5" i="6"/>
  <c r="AI15" i="6"/>
  <c r="AK2" i="6"/>
  <c r="AF2" i="6"/>
  <c r="AF6" i="6" s="1"/>
  <c r="AE6" i="6"/>
  <c r="Z95" i="6" l="1"/>
  <c r="Z80" i="6"/>
  <c r="AG8" i="4"/>
  <c r="AG5" i="4"/>
  <c r="AE149" i="6"/>
  <c r="AF149" i="6" s="1"/>
  <c r="AF154" i="6" s="1"/>
  <c r="AR160" i="6"/>
  <c r="AQ165" i="6"/>
  <c r="AR165" i="6" s="1"/>
  <c r="AQ149" i="6"/>
  <c r="AR149" i="6" s="1"/>
  <c r="AR151" i="6" s="1"/>
  <c r="AE160" i="6"/>
  <c r="AF160" i="6" s="1"/>
  <c r="AF165" i="6" s="1"/>
  <c r="AC166" i="6"/>
  <c r="Z155" i="6"/>
  <c r="AK160" i="6"/>
  <c r="AL160" i="6" s="1"/>
  <c r="AI163" i="6"/>
  <c r="AQ134" i="6"/>
  <c r="AR134" i="6"/>
  <c r="Z115" i="6"/>
  <c r="AC155" i="6"/>
  <c r="Z140" i="6"/>
  <c r="AQ54" i="6"/>
  <c r="AR54" i="6" s="1"/>
  <c r="AO57" i="6"/>
  <c r="Z60" i="6"/>
  <c r="AK62" i="6"/>
  <c r="AL53" i="6"/>
  <c r="AL62" i="6" s="1"/>
  <c r="AE59" i="6"/>
  <c r="AL39" i="6"/>
  <c r="AK39" i="6"/>
  <c r="AR34" i="6"/>
  <c r="AQ38" i="6"/>
  <c r="AR38" i="6"/>
  <c r="AF33" i="6"/>
  <c r="AF37" i="6" s="1"/>
  <c r="AE37" i="6"/>
  <c r="AF21" i="6"/>
  <c r="AZ4" i="6"/>
  <c r="AZ25" i="6" s="1"/>
  <c r="AL2" i="6"/>
  <c r="AK6" i="6"/>
  <c r="AR5" i="6"/>
  <c r="AY21" i="6" s="1"/>
  <c r="AQ7" i="6"/>
  <c r="AY4" i="6"/>
  <c r="AY25" i="6" s="1"/>
  <c r="AR7" i="6"/>
  <c r="AL19" i="6"/>
  <c r="BA7" i="6" s="1"/>
  <c r="BA25" i="6" s="1"/>
  <c r="AK25" i="6"/>
  <c r="AL25" i="6"/>
  <c r="AR18" i="6"/>
  <c r="AQ24" i="6"/>
  <c r="AQ56" i="6" l="1"/>
  <c r="AR56" i="6" s="1"/>
  <c r="AO59" i="6"/>
  <c r="BB4" i="6"/>
  <c r="BB25" i="6" s="1"/>
  <c r="AR24" i="6"/>
  <c r="AL6" i="6"/>
  <c r="AX4" i="6"/>
  <c r="AX2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tc={D3C62706-EF89-42BF-8996-5B044DA9C3FA}</author>
    <author>tc={33EDDACE-EF9A-4497-8D1E-2D3DC303E342}</author>
    <author>tc={D17F74A5-FC2F-4B0F-8BEF-BF18938CDD8E}</author>
    <author>tc={75783553-6B3F-4132-8784-D0D75E5319D7}</author>
    <author>tc={89439A3C-E64E-47F5-8591-2FB5EF6846D4}</author>
    <author>tc={110169E5-34B2-48F7-AB36-BABE7348AC6A}</author>
    <author>tc={56A34C48-EC8F-43E6-A9A4-47331CDA5B42}</author>
    <author>tc={0F038CC9-AEFB-477E-B4D5-23822C080974}</author>
    <author>tc={3E79BF73-09CE-4242-8078-A43C975ED325}</author>
    <author>tc={C8D1A6A6-4814-4D0E-9764-C1160138E7EF}</author>
    <author>tc={4EEF651D-BEC5-427F-AA9B-3916781CFA6F}</author>
  </authors>
  <commentList>
    <comment ref="AM106" authorId="0" shapeId="0" xr:uid="{D3C62706-EF89-42BF-8996-5B044DA9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extration: (-7)</t>
      </text>
    </comment>
    <comment ref="AM111" authorId="1" shapeId="0" xr:uid="{33EDDACE-EF9A-4497-8D1E-2D3DC303E3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extration: (-6)</t>
      </text>
    </comment>
    <comment ref="AM116" authorId="2" shapeId="0" xr:uid="{D17F74A5-FC2F-4B0F-8BEF-BF18938CDD8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extration: (-6)</t>
      </text>
    </comment>
    <comment ref="AM121" authorId="3" shapeId="0" xr:uid="{75783553-6B3F-4132-8784-D0D75E531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extration: (-14)</t>
      </text>
    </comment>
    <comment ref="AM126" authorId="4" shapeId="0" xr:uid="{89439A3C-E64E-47F5-8591-2FB5EF6846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extration: (-13)</t>
      </text>
    </comment>
    <comment ref="AA261" authorId="5" shapeId="0" xr:uid="{110169E5-34B2-48F7-AB36-BABE7348AC6A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AY261" authorId="6" shapeId="0" xr:uid="{56A34C48-EC8F-43E6-A9A4-47331CDA5B42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AA266" authorId="7" shapeId="0" xr:uid="{0F038CC9-AEFB-477E-B4D5-23822C080974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AY266" authorId="8" shapeId="0" xr:uid="{3E79BF73-09CE-4242-8078-A43C975ED325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AA271" authorId="9" shapeId="0" xr:uid="{C8D1A6A6-4814-4D0E-9764-C1160138E7EF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AY271" authorId="10" shapeId="0" xr:uid="{4EEF651D-BEC5-427F-AA9B-3916781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tc={8AD8875D-5B93-42DC-B125-4FCB9C44E54D}</author>
    <author>tc={CD668872-D7D2-4C68-B62D-2DC445CF06DE}</author>
  </authors>
  <commentList>
    <comment ref="C77" authorId="0" shapeId="0" xr:uid="{8AD8875D-5B93-42DC-B125-4FCB9C44E54D}">
      <text>
        <t>[Threaded comment]
Your version of Excel allows you to read this threaded comment; however, any edits to it will get removed if the file is opened in a newer version of Excel. Learn more: https://go.microsoft.com/fwlink/?linkid=870924
Comment:
    lots of OM</t>
      </text>
    </comment>
    <comment ref="O77" authorId="1" shapeId="0" xr:uid="{CD668872-D7D2-4C68-B62D-2DC445CF06DE}">
      <text>
        <t>[Threaded comment]
Your version of Excel allows you to read this threaded comment; however, any edits to it will get removed if the file is opened in a newer version of Excel. Learn more: https://go.microsoft.com/fwlink/?linkid=870924
Comment:
    lots of OM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tc={C6FEC113-2965-4FFE-85CB-E9B532AA0CE4}</author>
  </authors>
  <commentList>
    <comment ref="D19" authorId="0" shapeId="0" xr:uid="{C6FEC113-2965-4FFE-85CB-E9B532AA0C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half spheres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tc={035D573E-629E-4BD8-A08E-57941C3B0B6D}</author>
  </authors>
  <commentList>
    <comment ref="B118" authorId="0" shapeId="0" xr:uid="{035D573E-629E-4BD8-A08E-57941C3B0B6D}">
      <text>
        <t>[Threaded comment]
Your version of Excel allows you to read this threaded comment; however, any edits to it will get removed if the file is opened in a newer version of Excel. Learn more: https://go.microsoft.com/fwlink/?linkid=870924
Comment:
    25-may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tc={A80E37F1-5F40-41F9-A5BD-F00C6DCBE57D}</author>
    <author>tc={DA7D4CEF-533C-4DDB-9F47-940181EAC94D}</author>
    <author>tc={AFA09882-23A9-459D-9FA5-5A11D9FC8C57}</author>
  </authors>
  <commentList>
    <comment ref="I191" authorId="0" shapeId="0" xr:uid="{A80E37F1-5F40-41F9-A5BD-F00C6DCBE57D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I196" authorId="1" shapeId="0" xr:uid="{DA7D4CEF-533C-4DDB-9F47-940181EAC94D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  <comment ref="I201" authorId="2" shapeId="0" xr:uid="{AFA09882-23A9-459D-9FA5-5A11D9FC8C57}">
      <text>
        <t>[Threaded comment]
Your version of Excel allows you to read this threaded comment; however, any edits to it will get removed if the file is opened in a newer version of Excel. Learn more: https://go.microsoft.com/fwlink/?linkid=870924
Comment:
    8/18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<sst xmlns="http://schemas.openxmlformats.org/spreadsheetml/2006/main" count="7531" uniqueCount="526">
  <si>
    <t>SPS</t>
  </si>
  <si>
    <t>Blank-5/25</t>
  </si>
  <si>
    <t>clear/white</t>
  </si>
  <si>
    <t>black/purple</t>
  </si>
  <si>
    <t>gray/brown</t>
  </si>
  <si>
    <t>blue</t>
  </si>
  <si>
    <t>yellow/gold/orange</t>
  </si>
  <si>
    <t>green</t>
  </si>
  <si>
    <t>red/pink</t>
  </si>
  <si>
    <t>cluster</t>
  </si>
  <si>
    <t>fiber</t>
  </si>
  <si>
    <t>frag</t>
  </si>
  <si>
    <t>film</t>
  </si>
  <si>
    <t>JG</t>
  </si>
  <si>
    <t>black</t>
  </si>
  <si>
    <t xml:space="preserve">LRS </t>
  </si>
  <si>
    <t>B1: rinse bottle</t>
  </si>
  <si>
    <t>B2: No rinse</t>
  </si>
  <si>
    <t>B3: Rinse + acid bottle</t>
  </si>
  <si>
    <t>KNr Blank-55-67</t>
  </si>
  <si>
    <t>LRS</t>
  </si>
  <si>
    <t>all three left out a long time</t>
  </si>
  <si>
    <t>B2: no rinse bottle</t>
  </si>
  <si>
    <t>B3: rinse+acid</t>
  </si>
  <si>
    <t>KNR-1</t>
  </si>
  <si>
    <t>Clear/white</t>
  </si>
  <si>
    <t>AVERAGE</t>
  </si>
  <si>
    <t>KNR-2</t>
  </si>
  <si>
    <t>KNR-3</t>
  </si>
  <si>
    <t>KNR-4</t>
  </si>
  <si>
    <t>KNR-5</t>
  </si>
  <si>
    <t>KNR-6</t>
  </si>
  <si>
    <t>KNR-7</t>
  </si>
  <si>
    <t>KNR-8</t>
  </si>
  <si>
    <t>KNR-9</t>
  </si>
  <si>
    <t>KNR-10</t>
  </si>
  <si>
    <t>KNR-11</t>
  </si>
  <si>
    <t>KNR-12</t>
  </si>
  <si>
    <t>KNR-13</t>
  </si>
  <si>
    <t>past count</t>
  </si>
  <si>
    <t>KNR-14</t>
  </si>
  <si>
    <t>KNR-15</t>
  </si>
  <si>
    <t>KNR-16</t>
  </si>
  <si>
    <t>KNR-17</t>
  </si>
  <si>
    <t>KNR-18</t>
  </si>
  <si>
    <t>KNR-19</t>
  </si>
  <si>
    <t>KNR-20</t>
  </si>
  <si>
    <t>KNR-21</t>
  </si>
  <si>
    <t>KNR-22</t>
  </si>
  <si>
    <t>KNR-23</t>
  </si>
  <si>
    <t>KNR-24</t>
  </si>
  <si>
    <t>KNR-25</t>
  </si>
  <si>
    <t>KNR-26</t>
  </si>
  <si>
    <t>KNR-27</t>
  </si>
  <si>
    <t>KNR-28</t>
  </si>
  <si>
    <t>KNR-29</t>
  </si>
  <si>
    <t>KNR-30</t>
  </si>
  <si>
    <t>KNR-31</t>
  </si>
  <si>
    <t>KNR-32</t>
  </si>
  <si>
    <t>KNR-33</t>
  </si>
  <si>
    <t>KNR-34</t>
  </si>
  <si>
    <t>KNR-35</t>
  </si>
  <si>
    <t>KNR-36</t>
  </si>
  <si>
    <t>KNR-37</t>
  </si>
  <si>
    <t>KNR-38</t>
  </si>
  <si>
    <t>KNR-39</t>
  </si>
  <si>
    <t>KNR-40</t>
  </si>
  <si>
    <t>KNR-41</t>
  </si>
  <si>
    <t>KNR-42</t>
  </si>
  <si>
    <t>KNR-43</t>
  </si>
  <si>
    <t>KNR-44</t>
  </si>
  <si>
    <t>KNR-45</t>
  </si>
  <si>
    <t>KNR-46</t>
  </si>
  <si>
    <t>KNR-47</t>
  </si>
  <si>
    <t>KNR-48</t>
  </si>
  <si>
    <t>KNR-UP</t>
  </si>
  <si>
    <t>KNR-49</t>
  </si>
  <si>
    <t>KNR-50</t>
  </si>
  <si>
    <t>KNR-51</t>
  </si>
  <si>
    <t>KNR-58</t>
  </si>
  <si>
    <t>KNR-59</t>
  </si>
  <si>
    <t>KNR-60</t>
  </si>
  <si>
    <t>KNR-61</t>
  </si>
  <si>
    <t>KNR-62</t>
  </si>
  <si>
    <t>KNR-63</t>
  </si>
  <si>
    <t>KNR-64</t>
  </si>
  <si>
    <t>KNR-65</t>
  </si>
  <si>
    <t>KNR-66</t>
  </si>
  <si>
    <t>KNR-67</t>
  </si>
  <si>
    <t>KNR-68</t>
  </si>
  <si>
    <t>last update: 12/16/24</t>
  </si>
  <si>
    <t>Last update: 7/29</t>
  </si>
  <si>
    <t>RNR-1</t>
  </si>
  <si>
    <t>cluster/bead</t>
  </si>
  <si>
    <t>POST</t>
  </si>
  <si>
    <t>RNR-2</t>
  </si>
  <si>
    <t>RNR-3</t>
  </si>
  <si>
    <t>RNR-4</t>
  </si>
  <si>
    <t>RNR-5</t>
  </si>
  <si>
    <t>RNR-6</t>
  </si>
  <si>
    <t>RNR-7</t>
  </si>
  <si>
    <t>RNR-8</t>
  </si>
  <si>
    <t>RNR-9</t>
  </si>
  <si>
    <t>RNR-10</t>
  </si>
  <si>
    <t>RNR-11</t>
  </si>
  <si>
    <t>RNR-12</t>
  </si>
  <si>
    <t>RNR-13</t>
  </si>
  <si>
    <t>RNR-14</t>
  </si>
  <si>
    <t>RNR-15</t>
  </si>
  <si>
    <t>RNR-16</t>
  </si>
  <si>
    <t>RNR-17</t>
  </si>
  <si>
    <t>RNR-18</t>
  </si>
  <si>
    <t>RNR-19</t>
  </si>
  <si>
    <t>RNR-20</t>
  </si>
  <si>
    <t>RNR-21</t>
  </si>
  <si>
    <t>RNR-22</t>
  </si>
  <si>
    <t>RNR-23</t>
  </si>
  <si>
    <t>RNR-24</t>
  </si>
  <si>
    <t>RNR-25</t>
  </si>
  <si>
    <t>RNR-26</t>
  </si>
  <si>
    <t>RNR-27</t>
  </si>
  <si>
    <t>IC1-1</t>
  </si>
  <si>
    <t>clear</t>
  </si>
  <si>
    <t>IC1-2</t>
  </si>
  <si>
    <t>IC1-3</t>
  </si>
  <si>
    <t>IC2-1</t>
  </si>
  <si>
    <t>IC1-3.5</t>
  </si>
  <si>
    <t>IC2-2</t>
  </si>
  <si>
    <t>IC1-4</t>
  </si>
  <si>
    <t>IC1-4.5</t>
  </si>
  <si>
    <t>IC2-3</t>
  </si>
  <si>
    <t>IC1-5</t>
  </si>
  <si>
    <t>IC1-5.5</t>
  </si>
  <si>
    <t>IC3-1</t>
  </si>
  <si>
    <t>IC3-1.5</t>
  </si>
  <si>
    <t>IC3-2</t>
  </si>
  <si>
    <t xml:space="preserve">Last update:12/16 </t>
  </si>
  <si>
    <t>KNR ID</t>
  </si>
  <si>
    <t>Counter</t>
  </si>
  <si>
    <t>total</t>
  </si>
  <si>
    <t>FIBERS</t>
  </si>
  <si>
    <t>FRAGS</t>
  </si>
  <si>
    <t>FILM</t>
  </si>
  <si>
    <t>AVGTOTAL</t>
  </si>
  <si>
    <t>Sample ID</t>
  </si>
  <si>
    <t>LRS KeNR-1</t>
  </si>
  <si>
    <t>total particles collected in the field</t>
  </si>
  <si>
    <t>LRS KeNR-2</t>
  </si>
  <si>
    <t>particle run on raman:</t>
  </si>
  <si>
    <t>LRS KeNR-3</t>
  </si>
  <si>
    <t>LRS KeNR-4</t>
  </si>
  <si>
    <t>kent:</t>
  </si>
  <si>
    <t>LRS KeNR-5</t>
  </si>
  <si>
    <t>K run:</t>
  </si>
  <si>
    <t>LRS KeNR-6</t>
  </si>
  <si>
    <t>LRS KeNR-7</t>
  </si>
  <si>
    <t>Rad:</t>
  </si>
  <si>
    <t>LRS KeNR-8</t>
  </si>
  <si>
    <t>R run:</t>
  </si>
  <si>
    <t>LRS KeNR-9</t>
  </si>
  <si>
    <t>LRS KeNR-10</t>
  </si>
  <si>
    <t>LRS KeNR-11</t>
  </si>
  <si>
    <t>LRS KeNR-12</t>
  </si>
  <si>
    <t>LRS KeNR-13</t>
  </si>
  <si>
    <t>LRS KeNR-14</t>
  </si>
  <si>
    <t>LRS KeNR-15</t>
  </si>
  <si>
    <t>LRS KeNR-16</t>
  </si>
  <si>
    <t>LRS KeNR-17</t>
  </si>
  <si>
    <t>LRS KeNR-18</t>
  </si>
  <si>
    <t>LRS KeNR-19</t>
  </si>
  <si>
    <t>LRS KeNR-20</t>
  </si>
  <si>
    <t>LRS KeNR-21</t>
  </si>
  <si>
    <t>LRS KeNR-22</t>
  </si>
  <si>
    <t>LRS KeNR-23</t>
  </si>
  <si>
    <t>LRS KeNR-24</t>
  </si>
  <si>
    <t>LRS KeNR-25</t>
  </si>
  <si>
    <t>LRS KeNR-26</t>
  </si>
  <si>
    <t>LRS KeNR-27</t>
  </si>
  <si>
    <t>LRS KeNR-28</t>
  </si>
  <si>
    <t>LRS KeNR-29</t>
  </si>
  <si>
    <t>LRS KeNR-30</t>
  </si>
  <si>
    <t>LRS KeNR-31</t>
  </si>
  <si>
    <t>LRS KeNR-32</t>
  </si>
  <si>
    <t>LRS KeNR-33</t>
  </si>
  <si>
    <t>LRS KeNR-34</t>
  </si>
  <si>
    <t>LRS KeNR-35</t>
  </si>
  <si>
    <t>LRS KeNR-36</t>
  </si>
  <si>
    <t>LRS KeNR-37</t>
  </si>
  <si>
    <t>LRS KeNR-38</t>
  </si>
  <si>
    <t>LRS KeNR-39</t>
  </si>
  <si>
    <t>LRS KeNR-40</t>
  </si>
  <si>
    <t>LRS KeNR-41</t>
  </si>
  <si>
    <t>LRS KeNR-42</t>
  </si>
  <si>
    <t>LRS KeNR-43</t>
  </si>
  <si>
    <t>LRS KeNR-44</t>
  </si>
  <si>
    <t>LRS KeNR-45</t>
  </si>
  <si>
    <t>LRS KeNR-46</t>
  </si>
  <si>
    <t>LRS KeNR-47</t>
  </si>
  <si>
    <t>LRS KeNR-48</t>
  </si>
  <si>
    <t>upstream test</t>
  </si>
  <si>
    <t>LRS KeNR-49</t>
  </si>
  <si>
    <t>LRS KeNR-50</t>
  </si>
  <si>
    <t>LRS KeNR-51</t>
  </si>
  <si>
    <t>LRS KeNR-58</t>
  </si>
  <si>
    <t>LRS KeNR-59</t>
  </si>
  <si>
    <t>LRS KeNR-60</t>
  </si>
  <si>
    <t>LRS KeNR-61</t>
  </si>
  <si>
    <t>LRS KeNR-62</t>
  </si>
  <si>
    <t>LRS KeNR-63</t>
  </si>
  <si>
    <t>LRS KeNR-64</t>
  </si>
  <si>
    <t>LRS KeNR-65</t>
  </si>
  <si>
    <t>LRS KeNR-66</t>
  </si>
  <si>
    <t>LRS KeNR-67</t>
  </si>
  <si>
    <t>LRS KeNR-68</t>
  </si>
  <si>
    <t>RNR ID</t>
  </si>
  <si>
    <t>TOTAL</t>
  </si>
  <si>
    <t>LRS RaNR-1</t>
  </si>
  <si>
    <t>LRS RaNR-2</t>
  </si>
  <si>
    <t>LRS RaNR-3</t>
  </si>
  <si>
    <t>LRS RaNR-4</t>
  </si>
  <si>
    <t>LRS RaNR-5</t>
  </si>
  <si>
    <t>LRS RaNR-6</t>
  </si>
  <si>
    <t>LRS RaNR-7</t>
  </si>
  <si>
    <t>LRS RaNR-8</t>
  </si>
  <si>
    <t>LRS RaNR-9</t>
  </si>
  <si>
    <t>LRS RaNR-10</t>
  </si>
  <si>
    <t>LRS RaNR-11</t>
  </si>
  <si>
    <t>LRS RaNR-12</t>
  </si>
  <si>
    <t>LRS RaNR-13</t>
  </si>
  <si>
    <t>LRS RaNR-14</t>
  </si>
  <si>
    <t>LRS RaNR-15</t>
  </si>
  <si>
    <t>LRS RaNR-16</t>
  </si>
  <si>
    <t>LRS RaNR-17</t>
  </si>
  <si>
    <t>LRS RaNR-18</t>
  </si>
  <si>
    <t>LRS RaNR-19</t>
  </si>
  <si>
    <t>LRS RaNR-20</t>
  </si>
  <si>
    <t>LRS RaNR-21</t>
  </si>
  <si>
    <t>LRS RaNR-22</t>
  </si>
  <si>
    <t>LRS RaNR-23</t>
  </si>
  <si>
    <t>LRS RaNR-24</t>
  </si>
  <si>
    <t>LRS RaNR-25</t>
  </si>
  <si>
    <t>LRS RaNR-26</t>
  </si>
  <si>
    <t>LRS RaNR-27</t>
  </si>
  <si>
    <t>IC ID</t>
  </si>
  <si>
    <t>LRS IC1-1</t>
  </si>
  <si>
    <t>LRS IC1-2</t>
  </si>
  <si>
    <t>LRS IC1-3</t>
  </si>
  <si>
    <t>LRS IC1-3.5</t>
  </si>
  <si>
    <t>LRS IC1-4</t>
  </si>
  <si>
    <t>LRS IC1-4.5</t>
  </si>
  <si>
    <t>LRS IC1-5</t>
  </si>
  <si>
    <t>LRS IC1-5.5</t>
  </si>
  <si>
    <t>K</t>
  </si>
  <si>
    <t>Blanks</t>
  </si>
  <si>
    <t>IC bottle</t>
  </si>
  <si>
    <t>FDI</t>
  </si>
  <si>
    <t>FDI2</t>
  </si>
  <si>
    <t>B1:A</t>
  </si>
  <si>
    <t>B1L LD</t>
  </si>
  <si>
    <t>B3:</t>
  </si>
  <si>
    <t>LRS IC2-1</t>
  </si>
  <si>
    <t>LRS IC2-2</t>
  </si>
  <si>
    <t>LRS IC2-3</t>
  </si>
  <si>
    <t>LRS IC3-1</t>
  </si>
  <si>
    <t>LRS IC3-1.5</t>
  </si>
  <si>
    <t>LRS IC3-2</t>
  </si>
  <si>
    <t>69 samples from kentland</t>
  </si>
  <si>
    <t>avg</t>
  </si>
  <si>
    <t>stdev</t>
  </si>
  <si>
    <t>min</t>
  </si>
  <si>
    <t>max</t>
  </si>
  <si>
    <t>27 samples</t>
  </si>
  <si>
    <t>means a sample was not taken for raman analysis</t>
  </si>
  <si>
    <t>RNR 1</t>
  </si>
  <si>
    <t>percent polymer by particle type</t>
  </si>
  <si>
    <t>polymer abundance by polymer</t>
  </si>
  <si>
    <t>RNR 2</t>
  </si>
  <si>
    <t>RNR 3</t>
  </si>
  <si>
    <t>radford:</t>
  </si>
  <si>
    <t>RNR</t>
  </si>
  <si>
    <t>KNR</t>
  </si>
  <si>
    <t>percentage of total particles within filter</t>
  </si>
  <si>
    <t>Blue fiber</t>
  </si>
  <si>
    <t>polystyrene</t>
  </si>
  <si>
    <t>ps</t>
  </si>
  <si>
    <t>White Fib</t>
  </si>
  <si>
    <t>pete</t>
  </si>
  <si>
    <t>ethylene-vinyl acetate copolymer</t>
  </si>
  <si>
    <t>Pete</t>
  </si>
  <si>
    <t>4 unID'd</t>
  </si>
  <si>
    <t>Extrapolated #s</t>
  </si>
  <si>
    <t>**take total suspected--coutned particle</t>
  </si>
  <si>
    <t>Black fib</t>
  </si>
  <si>
    <t>pe</t>
  </si>
  <si>
    <t>lpde</t>
  </si>
  <si>
    <t>ldpe</t>
  </si>
  <si>
    <t>pet</t>
  </si>
  <si>
    <t>Total</t>
  </si>
  <si>
    <t>RNR 4</t>
  </si>
  <si>
    <t>RNR 5</t>
  </si>
  <si>
    <t>RNR 6</t>
  </si>
  <si>
    <t>RNR 7</t>
  </si>
  <si>
    <t>RNR 8</t>
  </si>
  <si>
    <t>RNR 9</t>
  </si>
  <si>
    <t>RNR 10</t>
  </si>
  <si>
    <t>RNR 11</t>
  </si>
  <si>
    <t>--</t>
  </si>
  <si>
    <t>poly(1_butene)_isotactic</t>
  </si>
  <si>
    <t>Black frag</t>
  </si>
  <si>
    <t>Blue Fib</t>
  </si>
  <si>
    <t>Blue frag</t>
  </si>
  <si>
    <t>clear fib</t>
  </si>
  <si>
    <t>cellulose acetate</t>
  </si>
  <si>
    <t>white frag</t>
  </si>
  <si>
    <t>polyester</t>
  </si>
  <si>
    <t xml:space="preserve">**how many of these </t>
  </si>
  <si>
    <t>Clear fib</t>
  </si>
  <si>
    <t>polyethylene</t>
  </si>
  <si>
    <t>edpm</t>
  </si>
  <si>
    <t>White Frag</t>
  </si>
  <si>
    <t>polycarbonate</t>
  </si>
  <si>
    <t>pp</t>
  </si>
  <si>
    <t>Black Frag</t>
  </si>
  <si>
    <t>blue fib</t>
  </si>
  <si>
    <t>polymethylstyrene</t>
  </si>
  <si>
    <t>clear frag</t>
  </si>
  <si>
    <t>grey fib</t>
  </si>
  <si>
    <t>cellulose</t>
  </si>
  <si>
    <t>sealing ring epdm</t>
  </si>
  <si>
    <t>**</t>
  </si>
  <si>
    <t>other plastic</t>
  </si>
  <si>
    <t>White</t>
  </si>
  <si>
    <t>isobutelyn-isopropen-rubber</t>
  </si>
  <si>
    <t>grey frag</t>
  </si>
  <si>
    <t>pp &lt;0.6 **UK</t>
  </si>
  <si>
    <t>**there are biases on visual choosing paericles fo rmran anlsysis</t>
  </si>
  <si>
    <t>Black Fib</t>
  </si>
  <si>
    <t>other material</t>
  </si>
  <si>
    <t>polypropylene</t>
  </si>
  <si>
    <t xml:space="preserve">White </t>
  </si>
  <si>
    <t>pete / cellulose_acetate</t>
  </si>
  <si>
    <t>percentage</t>
  </si>
  <si>
    <t>Gold film</t>
  </si>
  <si>
    <t>hdpe</t>
  </si>
  <si>
    <t>white fib</t>
  </si>
  <si>
    <t>pete &amp; soluplus_balf</t>
  </si>
  <si>
    <t>carbon nano tube</t>
  </si>
  <si>
    <t>Clear film</t>
  </si>
  <si>
    <t>Yellow Fib</t>
  </si>
  <si>
    <t>Blue fib</t>
  </si>
  <si>
    <t>pc &lt;0.6 **UK</t>
  </si>
  <si>
    <t>yellow fib</t>
  </si>
  <si>
    <t>**aspect ratio</t>
  </si>
  <si>
    <t>**sites translatable</t>
  </si>
  <si>
    <t>White Film</t>
  </si>
  <si>
    <t>cellulose acetate &amp; pete</t>
  </si>
  <si>
    <t>cellulsoe acetate &amp; polystyrene</t>
  </si>
  <si>
    <t>"Yokey" White frag</t>
  </si>
  <si>
    <t>Clear frag</t>
  </si>
  <si>
    <t>Yellow Frag</t>
  </si>
  <si>
    <t>Yellow Film</t>
  </si>
  <si>
    <t>polyamide</t>
  </si>
  <si>
    <t>eps</t>
  </si>
  <si>
    <t>Gray frag</t>
  </si>
  <si>
    <t>cellulose_acetate</t>
  </si>
  <si>
    <t>Orange yellowish</t>
  </si>
  <si>
    <t>glass</t>
  </si>
  <si>
    <t>polychloroprene</t>
  </si>
  <si>
    <t>polycaprolactone_aldrich</t>
  </si>
  <si>
    <t>zein purified</t>
  </si>
  <si>
    <t>Clear Film</t>
  </si>
  <si>
    <t>pvc</t>
  </si>
  <si>
    <t>nitrile</t>
  </si>
  <si>
    <t>nylon (polyamide)</t>
  </si>
  <si>
    <t>White  fib</t>
  </si>
  <si>
    <t>black fib</t>
  </si>
  <si>
    <t>celullose_acetate_phthalate_fluka</t>
  </si>
  <si>
    <t>red fib</t>
  </si>
  <si>
    <t>Greyish white</t>
  </si>
  <si>
    <t>cellulose_acetate &amp; polystyrene</t>
  </si>
  <si>
    <t>&lt;0.6</t>
  </si>
  <si>
    <t>rubber</t>
  </si>
  <si>
    <t xml:space="preserve">zein purified </t>
  </si>
  <si>
    <t>Long white</t>
  </si>
  <si>
    <t>hpde</t>
  </si>
  <si>
    <t>Grey/White fib</t>
  </si>
  <si>
    <t>Black/Purple fib</t>
  </si>
  <si>
    <t>cellulose_OM</t>
  </si>
  <si>
    <t>pete &amp; cellulose_acetate_phthalate_fluka</t>
  </si>
  <si>
    <t>Dye</t>
  </si>
  <si>
    <t>Purple fib</t>
  </si>
  <si>
    <t>no match</t>
  </si>
  <si>
    <t>Other plastic</t>
  </si>
  <si>
    <t>pete &amp; polystyrene</t>
  </si>
  <si>
    <t>pete/polystyrene</t>
  </si>
  <si>
    <t>Black/Purple</t>
  </si>
  <si>
    <t>lamp black</t>
  </si>
  <si>
    <t>polyvinylchlorid</t>
  </si>
  <si>
    <t>mixed</t>
  </si>
  <si>
    <t>clear film</t>
  </si>
  <si>
    <t>ptfe</t>
  </si>
  <si>
    <t>Black</t>
  </si>
  <si>
    <t>pink fiber bundle</t>
  </si>
  <si>
    <t>Organic matter</t>
  </si>
  <si>
    <t>UK</t>
  </si>
  <si>
    <t>Clear Frag</t>
  </si>
  <si>
    <t>grey/black fiber</t>
  </si>
  <si>
    <t>fibre_cocoaunt</t>
  </si>
  <si>
    <t>O</t>
  </si>
  <si>
    <t>ldpe &lt;0.6 **UK</t>
  </si>
  <si>
    <t>Yellow fib</t>
  </si>
  <si>
    <t>(07) pet</t>
  </si>
  <si>
    <t>pfa (polyhaloolefins)</t>
  </si>
  <si>
    <t>polyurethane</t>
  </si>
  <si>
    <t>berlinerblau - prussian blue</t>
  </si>
  <si>
    <t>Yelow frag</t>
  </si>
  <si>
    <t>Yellow frag</t>
  </si>
  <si>
    <t>cellulose_acetate_phthalate_fluka</t>
  </si>
  <si>
    <t>Yellow film</t>
  </si>
  <si>
    <t>polymer kind by shape and color</t>
  </si>
  <si>
    <t>Total RNR</t>
  </si>
  <si>
    <t>white film</t>
  </si>
  <si>
    <t>black frag</t>
  </si>
  <si>
    <t>blue frag</t>
  </si>
  <si>
    <t>yellow frag</t>
  </si>
  <si>
    <t>yellow film</t>
  </si>
  <si>
    <t>red frag</t>
  </si>
  <si>
    <t xml:space="preserve">grey fib </t>
  </si>
  <si>
    <t>green fib</t>
  </si>
  <si>
    <t>green frag</t>
  </si>
  <si>
    <t>Blue</t>
  </si>
  <si>
    <t>Red fib</t>
  </si>
  <si>
    <t>PETE</t>
  </si>
  <si>
    <t>isobutylen_isopropen-rubber</t>
  </si>
  <si>
    <t>Light Blue</t>
  </si>
  <si>
    <t>methyl cellulose</t>
  </si>
  <si>
    <t>sealing ring edpm</t>
  </si>
  <si>
    <t>styrene_isoprene</t>
  </si>
  <si>
    <t>nylon</t>
  </si>
  <si>
    <t>Clear Fib</t>
  </si>
  <si>
    <t>isobutylen-isopropen-rubber</t>
  </si>
  <si>
    <t>pollyamide_6</t>
  </si>
  <si>
    <t>Orange Fib</t>
  </si>
  <si>
    <t>polystyrene &amp; pete</t>
  </si>
  <si>
    <t xml:space="preserve">blue fib </t>
  </si>
  <si>
    <t>poly(tetrafluoroethylene)</t>
  </si>
  <si>
    <t>Long blue fib</t>
  </si>
  <si>
    <t>pcl</t>
  </si>
  <si>
    <t>Bluish fiber</t>
  </si>
  <si>
    <t>Grey fib</t>
  </si>
  <si>
    <t xml:space="preserve">white fib </t>
  </si>
  <si>
    <t>acrylonitrile butadiene styrene</t>
  </si>
  <si>
    <t>Blue whitish</t>
  </si>
  <si>
    <t>light blue fib</t>
  </si>
  <si>
    <t>PS</t>
  </si>
  <si>
    <t>mineral</t>
  </si>
  <si>
    <t>Clear short fiber</t>
  </si>
  <si>
    <t>Long Gray Fiber</t>
  </si>
  <si>
    <t>Thin Clear fiber</t>
  </si>
  <si>
    <t>Green fib</t>
  </si>
  <si>
    <t>Long clear</t>
  </si>
  <si>
    <t xml:space="preserve">	vinylidene chloride acrylonitrile</t>
  </si>
  <si>
    <t>Green Fib</t>
  </si>
  <si>
    <t>no good spectra:/</t>
  </si>
  <si>
    <t>&lt;0.6 **UK</t>
  </si>
  <si>
    <t>Green Frag</t>
  </si>
  <si>
    <t>sealant from a gasket</t>
  </si>
  <si>
    <t>Red Frag</t>
  </si>
  <si>
    <t>Red Fib</t>
  </si>
  <si>
    <t>poly(4_methyl_1_pentene)</t>
  </si>
  <si>
    <t>Red frag</t>
  </si>
  <si>
    <t>polymer kind% for RNR</t>
  </si>
  <si>
    <t>KNR 1</t>
  </si>
  <si>
    <t>hydroxypropyl methyl cellulose</t>
  </si>
  <si>
    <t>Small blue fib</t>
  </si>
  <si>
    <t>Grey-greenish fib</t>
  </si>
  <si>
    <t>ethylene/vinyl acetate copolymer</t>
  </si>
  <si>
    <t>pc</t>
  </si>
  <si>
    <t>Grey frag</t>
  </si>
  <si>
    <t>KNR 2</t>
  </si>
  <si>
    <t>KNR 3</t>
  </si>
  <si>
    <t>KNR 4</t>
  </si>
  <si>
    <t>Total particles:</t>
  </si>
  <si>
    <t>Kentland:</t>
  </si>
  <si>
    <t>Total KNR</t>
  </si>
  <si>
    <t>KNR 5</t>
  </si>
  <si>
    <t>KNR 6</t>
  </si>
  <si>
    <t>KNR 7</t>
  </si>
  <si>
    <t>gray frag</t>
  </si>
  <si>
    <t>polymer kind% for KNR</t>
  </si>
  <si>
    <t>KNR 8</t>
  </si>
  <si>
    <t>KNR 9</t>
  </si>
  <si>
    <t>KNR 10</t>
  </si>
  <si>
    <t>pink fib</t>
  </si>
  <si>
    <t>KNR 11</t>
  </si>
  <si>
    <t>KNR 12</t>
  </si>
  <si>
    <t>KNR 13</t>
  </si>
  <si>
    <t>whiete fib</t>
  </si>
  <si>
    <t>KNR 14</t>
  </si>
  <si>
    <t>KNR 15</t>
  </si>
  <si>
    <t>KNR 16</t>
  </si>
  <si>
    <t>KNR 17</t>
  </si>
  <si>
    <t>KNR 18</t>
  </si>
  <si>
    <t>KNR 19</t>
  </si>
  <si>
    <t>KNR 20</t>
  </si>
  <si>
    <t>KNR 21</t>
  </si>
  <si>
    <t>KNR 22</t>
  </si>
  <si>
    <t>KNR 43</t>
  </si>
  <si>
    <t>KNR 45</t>
  </si>
  <si>
    <t xml:space="preserve"> clear fib</t>
  </si>
  <si>
    <t xml:space="preserve">TOTAL </t>
  </si>
  <si>
    <t>RNR 12</t>
  </si>
  <si>
    <t>Polyethylene terephthalate (56%)</t>
  </si>
  <si>
    <t>Other plastic (12%)</t>
  </si>
  <si>
    <t>Polyethylene (9%)</t>
  </si>
  <si>
    <t>Polystyrene (7%)</t>
  </si>
  <si>
    <t>Mixed (7%)</t>
  </si>
  <si>
    <t>Cellulose (6%)</t>
  </si>
  <si>
    <t>Other Material (3%)</t>
  </si>
  <si>
    <t>unknown</t>
  </si>
  <si>
    <t>Polyethylene Terephthalate</t>
  </si>
  <si>
    <t>KNR-52</t>
  </si>
  <si>
    <t>DEc-January</t>
  </si>
  <si>
    <t>radofrd width</t>
  </si>
  <si>
    <t>m</t>
  </si>
  <si>
    <t>kentland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</si>
</sst>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1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</font>
    <font>
      <b/>
      <sz val="11"/>
      <color theme="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2"/>
      <color theme="1"/>
      <name val="Source Sans Pro"/>
      <charset val="1"/>
    </font>
    <font>
      <sz val="12"/>
      <color rgb="FF000000"/>
      <name val="Source Sans Pro"/>
      <charset val="1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0" xfId="0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9" fillId="0" borderId="0" xfId="0" applyFont="1"/>
    <xf numFmtId="0" fontId="1" fillId="3" borderId="0" xfId="0" applyFont="1" applyFill="1"/>
    <xf numFmtId="0" fontId="10" fillId="0" borderId="1" xfId="0" applyFont="1" applyBorder="1"/>
    <xf numFmtId="0" fontId="0" fillId="0" borderId="1" xfId="0" applyBorder="1"/>
    <xf numFmtId="0" fontId="9" fillId="0" borderId="1" xfId="0" applyFont="1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9" xfId="0" applyBorder="1"/>
    <xf numFmtId="0" fontId="9" fillId="0" borderId="9" xfId="0" applyFont="1" applyBorder="1"/>
    <xf numFmtId="2" fontId="0" fillId="2" borderId="0" xfId="0" applyNumberFormat="1" applyFill="1"/>
    <xf numFmtId="0" fontId="11" fillId="0" borderId="0" xfId="0" applyFont="1"/>
    <xf numFmtId="166" fontId="0" fillId="0" borderId="0" xfId="0" applyNumberFormat="1"/>
    <xf numFmtId="0" fontId="12" fillId="0" borderId="0" xfId="0" applyFont="1"/>
    <xf numFmtId="0" fontId="13" fillId="0" borderId="0" xfId="0" applyFont="1"/>
    <xf numFmtId="2" fontId="0" fillId="3" borderId="1" xfId="0" applyNumberFormat="1" applyFill="1" applyBorder="1"/>
    <xf numFmtId="2" fontId="0" fillId="2" borderId="1" xfId="0" applyNumberFormat="1" applyFill="1" applyBorder="1"/>
    <xf numFmtId="0" fontId="0" fillId="3" borderId="7" xfId="0" applyFill="1" applyBorder="1"/>
    <xf numFmtId="0" fontId="0" fillId="0" borderId="10" xfId="0" applyBorder="1"/>
    <xf numFmtId="0" fontId="0" fillId="3" borderId="10" xfId="0" applyFill="1" applyBorder="1"/>
    <xf numFmtId="0" fontId="0" fillId="0" borderId="11" xfId="0" applyBorder="1"/>
    <xf numFmtId="0" fontId="0" fillId="3" borderId="9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1" fillId="3" borderId="0" xfId="0" applyNumberFormat="1" applyFont="1" applyFill="1"/>
    <xf numFmtId="2" fontId="14" fillId="2" borderId="1" xfId="0" applyNumberFormat="1" applyFont="1" applyFill="1" applyBorder="1"/>
    <xf numFmtId="0" fontId="14" fillId="2" borderId="0" xfId="0" applyFont="1" applyFill="1"/>
    <xf numFmtId="0" fontId="14" fillId="2" borderId="15" xfId="0" applyFont="1" applyFill="1" applyBorder="1"/>
    <xf numFmtId="0" fontId="0" fillId="0" borderId="15" xfId="0" applyBorder="1"/>
    <xf numFmtId="2" fontId="14" fillId="2" borderId="3" xfId="0" applyNumberFormat="1" applyFont="1" applyFill="1" applyBorder="1"/>
    <xf numFmtId="0" fontId="14" fillId="2" borderId="16" xfId="0" applyFont="1" applyFill="1" applyBorder="1"/>
    <xf numFmtId="0" fontId="14" fillId="2" borderId="17" xfId="0" applyFont="1" applyFill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14" fillId="2" borderId="20" xfId="0" applyFont="1" applyFill="1" applyBorder="1"/>
    <xf numFmtId="0" fontId="14" fillId="2" borderId="18" xfId="0" applyFont="1" applyFill="1" applyBorder="1"/>
    <xf numFmtId="0" fontId="14" fillId="2" borderId="21" xfId="0" applyFont="1" applyFill="1" applyBorder="1"/>
    <xf numFmtId="2" fontId="14" fillId="2" borderId="15" xfId="0" applyNumberFormat="1" applyFont="1" applyFill="1" applyBorder="1"/>
    <xf numFmtId="0" fontId="14" fillId="2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E-444F-AD96-197A4CECDE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E-444F-AD96-197A4CECDE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E-444F-AD96-197A4CECDE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8E-444F-AD96-197A4CECDE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8E-444F-AD96-197A4CECDE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8E-444F-AD96-197A4CECDE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8E-444F-AD96-197A4CECDE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8E-444F-AD96-197A4CECDE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8E-444F-AD96-197A4CECDE98}"/>
              </c:ext>
            </c:extLst>
          </c:dPt>
          <c:cat>
            <c:strRef>
              <c:f>'RamanF (2)'!$K$3:$K$11</c:f>
              <c:strCache>
                <c:ptCount val="7"/>
                <c:pt idx="0">
                  <c:v>Polyethylene terephthalate (56%)</c:v>
                </c:pt>
                <c:pt idx="1">
                  <c:v>Other plastic (12%)</c:v>
                </c:pt>
                <c:pt idx="2">
                  <c:v>Polyethylene (9%)</c:v>
                </c:pt>
                <c:pt idx="3">
                  <c:v>Polystyrene (7%)</c:v>
                </c:pt>
                <c:pt idx="4">
                  <c:v>Mixed (7%)</c:v>
                </c:pt>
                <c:pt idx="5">
                  <c:v>Cellulose (6%)</c:v>
                </c:pt>
                <c:pt idx="6">
                  <c:v>Other Material (3%)</c:v>
                </c:pt>
              </c:strCache>
            </c:strRef>
          </c:cat>
          <c:val>
            <c:numRef>
              <c:f>'RamanF (2)'!$L$3:$L$11</c:f>
              <c:numCache>
                <c:formatCode>General</c:formatCode>
                <c:ptCount val="9"/>
                <c:pt idx="0">
                  <c:v>56.403966351802246</c:v>
                </c:pt>
                <c:pt idx="1">
                  <c:v>12.27501292353964</c:v>
                </c:pt>
                <c:pt idx="2">
                  <c:v>8.6254053291978003</c:v>
                </c:pt>
                <c:pt idx="3">
                  <c:v>7.2212040039475536</c:v>
                </c:pt>
                <c:pt idx="4">
                  <c:v>6.5162836599464269</c:v>
                </c:pt>
                <c:pt idx="5">
                  <c:v>5.9058226420414508</c:v>
                </c:pt>
                <c:pt idx="6">
                  <c:v>3.052305089524884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8E-444F-AD96-197A4CECD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5-4F44-A37C-7A4E40CAE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95-4F44-A37C-7A4E40CAEF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95-4F44-A37C-7A4E40CAEF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95-4F44-A37C-7A4E40CAEF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95-4F44-A37C-7A4E40CAEF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95-4F44-A37C-7A4E40CAEF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95-4F44-A37C-7A4E40CAEF52}"/>
              </c:ext>
            </c:extLst>
          </c:dPt>
          <c:cat>
            <c:strRef>
              <c:f>'RamanF (2)'!$K$3:$K$9</c:f>
              <c:strCache>
                <c:ptCount val="7"/>
                <c:pt idx="0">
                  <c:v>Polyethylene terephthalate (56%)</c:v>
                </c:pt>
                <c:pt idx="1">
                  <c:v>Other plastic (12%)</c:v>
                </c:pt>
                <c:pt idx="2">
                  <c:v>Polyethylene (9%)</c:v>
                </c:pt>
                <c:pt idx="3">
                  <c:v>Polystyrene (7%)</c:v>
                </c:pt>
                <c:pt idx="4">
                  <c:v>Mixed (7%)</c:v>
                </c:pt>
                <c:pt idx="5">
                  <c:v>Cellulose (6%)</c:v>
                </c:pt>
                <c:pt idx="6">
                  <c:v>Other Material (3%)</c:v>
                </c:pt>
              </c:strCache>
            </c:strRef>
          </c:cat>
          <c:val>
            <c:numRef>
              <c:f>'RamanF (2)'!$L$3:$L$9</c:f>
              <c:numCache>
                <c:formatCode>General</c:formatCode>
                <c:ptCount val="7"/>
                <c:pt idx="0">
                  <c:v>56.403966351802246</c:v>
                </c:pt>
                <c:pt idx="1">
                  <c:v>12.27501292353964</c:v>
                </c:pt>
                <c:pt idx="2">
                  <c:v>8.6254053291978003</c:v>
                </c:pt>
                <c:pt idx="3">
                  <c:v>7.2212040039475536</c:v>
                </c:pt>
                <c:pt idx="4">
                  <c:v>6.5162836599464269</c:v>
                </c:pt>
                <c:pt idx="5">
                  <c:v>5.9058226420414508</c:v>
                </c:pt>
                <c:pt idx="6">
                  <c:v>3.052305089524884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0-47C8-9E42-F3D0DBF5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47</xdr:row>
      <xdr:rowOff>152400</xdr:rowOff>
    </xdr:from>
    <xdr:to>
      <xdr:col>16</xdr:col>
      <xdr:colOff>85725</xdr:colOff>
      <xdr:row>64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A963E-C9BA-43E6-A15B-DFCF1C0E2374}"/>
            </a:ext>
            <a:ext uri="{147F2762-F138-4A5C-976F-8EAC2B608ADB}">
              <a16:predDERef xmlns:a16="http://schemas.microsoft.com/office/drawing/2014/main" pred="{4F87A1C7-5040-D6F8-D57F-33D7B0861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352425</xdr:colOff>
      <xdr:row>31</xdr:row>
      <xdr:rowOff>76200</xdr:rowOff>
    </xdr:from>
    <xdr:to>
      <xdr:col>37</xdr:col>
      <xdr:colOff>476250</xdr:colOff>
      <xdr:row>59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C011A-3FAA-2482-69B8-551BCBC281A6}"/>
            </a:ext>
            <a:ext uri="{147F2762-F138-4A5C-976F-8EAC2B608ADB}">
              <a16:predDERef xmlns:a16="http://schemas.microsoft.com/office/drawing/2014/main" pred="{626C2C17-5815-A8F2-CB67-744C76DC6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driguez Sequeira, Luisana" id="{CA640800-F8F2-4C31-BE08-92F515B24920}" userId="S::lrs@vt.edu::c5ab724e-15f1-47e6-a0b4-3c0882d22d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106" dT="2024-07-29T04:21:14.63" personId="{CA640800-F8F2-4C31-BE08-92F515B24920}" id="{D3C62706-EF89-42BF-8996-5B044DA9C3FA}">
    <text>post extration: (-7)</text>
  </threadedComment>
  <threadedComment ref="AM111" dT="2024-07-29T04:22:20.45" personId="{CA640800-F8F2-4C31-BE08-92F515B24920}" id="{33EDDACE-EF9A-4497-8D1E-2D3DC303E342}">
    <text>post extration: (-6)</text>
  </threadedComment>
  <threadedComment ref="AM116" dT="2024-07-29T04:25:21.66" personId="{CA640800-F8F2-4C31-BE08-92F515B24920}" id="{D17F74A5-FC2F-4B0F-8BEF-BF18938CDD8E}">
    <text>post extration: (-6)</text>
  </threadedComment>
  <threadedComment ref="AM121" dT="2024-07-29T04:26:00.26" personId="{CA640800-F8F2-4C31-BE08-92F515B24920}" id="{75783553-6B3F-4132-8784-D0D75E5319D7}">
    <text>post extration: (-14)</text>
  </threadedComment>
  <threadedComment ref="AM126" dT="2024-07-29T04:26:09.30" personId="{CA640800-F8F2-4C31-BE08-92F515B24920}" id="{89439A3C-E64E-47F5-8591-2FB5EF6846D4}">
    <text>post extration: (-13)</text>
  </threadedComment>
  <threadedComment ref="AA261" dT="2024-08-19T12:42:08.19" personId="{CA640800-F8F2-4C31-BE08-92F515B24920}" id="{110169E5-34B2-48F7-AB36-BABE7348AC6A}">
    <text>8/18</text>
  </threadedComment>
  <threadedComment ref="AY261" dT="2024-08-19T12:42:08.19" personId="{CA640800-F8F2-4C31-BE08-92F515B24920}" id="{56A34C48-EC8F-43E6-A9A4-47331CDA5B42}">
    <text>8/18</text>
  </threadedComment>
  <threadedComment ref="AA266" dT="2024-08-19T12:45:33.66" personId="{CA640800-F8F2-4C31-BE08-92F515B24920}" id="{0F038CC9-AEFB-477E-B4D5-23822C080974}">
    <text>8/18</text>
  </threadedComment>
  <threadedComment ref="AY266" dT="2024-08-19T12:45:33.66" personId="{CA640800-F8F2-4C31-BE08-92F515B24920}" id="{3E79BF73-09CE-4242-8078-A43C975ED325}">
    <text>8/18</text>
  </threadedComment>
  <threadedComment ref="AA271" dT="2024-08-19T12:45:41.55" personId="{CA640800-F8F2-4C31-BE08-92F515B24920}" id="{C8D1A6A6-4814-4D0E-9764-C1160138E7EF}">
    <text>8/18</text>
  </threadedComment>
  <threadedComment ref="AY271" dT="2024-08-19T12:45:41.55" personId="{CA640800-F8F2-4C31-BE08-92F515B24920}" id="{4EEF651D-BEC5-427F-AA9B-3916781CFA6F}">
    <text>8/18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7" dT="2024-07-29T05:48:33.49" personId="{CA640800-F8F2-4C31-BE08-92F515B24920}" id="{8AD8875D-5B93-42DC-B125-4FCB9C44E54D}">
    <text>lots of OM</text>
  </threadedComment>
  <threadedComment ref="O77" dT="2024-07-29T05:48:33.49" personId="{CA640800-F8F2-4C31-BE08-92F515B24920}" id="{CD668872-D7D2-4C68-B62D-2DC445CF06DE}">
    <text>lots of OM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9" dT="2024-08-19T12:27:55.12" personId="{CA640800-F8F2-4C31-BE08-92F515B24920}" id="{C6FEC113-2965-4FFE-85CB-E9B532AA0CE4}">
    <text>including half spheres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18" dT="2024-07-08T18:24:56.06" personId="{CA640800-F8F2-4C31-BE08-92F515B24920}" id="{035D573E-629E-4BD8-A08E-57941C3B0B6D}">
    <text>25-may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91" dT="2024-08-19T12:42:08.19" personId="{CA640800-F8F2-4C31-BE08-92F515B24920}" id="{A80E37F1-5F40-41F9-A5BD-F00C6DCBE57D}">
    <text>8/18</text>
  </threadedComment>
  <threadedComment ref="I196" dT="2024-08-19T12:45:33.66" personId="{CA640800-F8F2-4C31-BE08-92F515B24920}" id="{DA7D4CEF-533C-4DDB-9F47-940181EAC94D}">
    <text>8/18</text>
  </threadedComment>
  <threadedComment ref="I201" dT="2024-08-19T12:45:41.55" personId="{CA640800-F8F2-4C31-BE08-92F515B24920}" id="{AFA09882-23A9-459D-9FA5-5A11D9FC8C57}">
    <text>8/18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B731-50F6-4A9E-987C-A382C2DFFA85}">
  <dimension ref="A3:AA42"/>
  <sheetViews>
    <sheetView topLeftCell="A19" workbookViewId="0">
      <selection activeCell="D39" sqref="D39"/>
    </sheetView>
  </sheetViews>
  <sheetFormatPr defaultColWidth="8.85546875" defaultRowHeight="15"/>
  <sheetData>
    <row r="3" spans="1:11" ht="15.95">
      <c r="A3" t="s">
        <v>0</v>
      </c>
      <c r="B3" t="s">
        <v>1</v>
      </c>
      <c r="C3" s="5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1">
      <c r="B4" t="s">
        <v>10</v>
      </c>
      <c r="C4">
        <v>11</v>
      </c>
      <c r="D4">
        <v>2</v>
      </c>
      <c r="F4">
        <v>1</v>
      </c>
      <c r="G4">
        <v>1</v>
      </c>
      <c r="I4">
        <v>1</v>
      </c>
      <c r="K4">
        <f>SUM(C4:J4)</f>
        <v>16</v>
      </c>
    </row>
    <row r="5" spans="1:11">
      <c r="B5" t="s">
        <v>11</v>
      </c>
      <c r="K5">
        <f t="shared" ref="K5:K6" si="0">SUM(C5:J5)</f>
        <v>0</v>
      </c>
    </row>
    <row r="6" spans="1:11">
      <c r="B6" t="s">
        <v>12</v>
      </c>
      <c r="K6">
        <f t="shared" si="0"/>
        <v>0</v>
      </c>
    </row>
    <row r="7" spans="1:11">
      <c r="K7">
        <f>SUM(K4:K6)</f>
        <v>16</v>
      </c>
    </row>
    <row r="8" spans="1:11" ht="15.95">
      <c r="A8" t="s">
        <v>13</v>
      </c>
      <c r="B8" s="5" t="s">
        <v>1</v>
      </c>
      <c r="C8" s="5" t="s">
        <v>2</v>
      </c>
      <c r="D8" s="5" t="s">
        <v>14</v>
      </c>
      <c r="E8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t="s">
        <v>9</v>
      </c>
    </row>
    <row r="9" spans="1:11" ht="15.95">
      <c r="B9" s="5" t="s">
        <v>10</v>
      </c>
      <c r="C9" s="5">
        <v>14</v>
      </c>
      <c r="D9" s="5">
        <v>2</v>
      </c>
      <c r="E9" s="5"/>
      <c r="F9" s="5"/>
      <c r="G9" s="5"/>
      <c r="H9" s="5">
        <v>1</v>
      </c>
      <c r="I9" s="5">
        <v>1</v>
      </c>
      <c r="J9" s="5"/>
      <c r="K9">
        <f>SUM(C9:J9)</f>
        <v>18</v>
      </c>
    </row>
    <row r="10" spans="1:11" ht="15.95">
      <c r="B10" s="5" t="s">
        <v>11</v>
      </c>
      <c r="C10" s="5"/>
      <c r="D10" s="5"/>
      <c r="E10" s="5">
        <v>2</v>
      </c>
      <c r="F10" s="5"/>
      <c r="G10" s="5"/>
      <c r="H10" s="5"/>
      <c r="I10" s="5"/>
      <c r="J10" s="5"/>
      <c r="K10">
        <f t="shared" ref="K10:K11" si="1">SUM(C10:J10)</f>
        <v>2</v>
      </c>
    </row>
    <row r="11" spans="1:11">
      <c r="B11" t="s">
        <v>12</v>
      </c>
      <c r="K11">
        <f t="shared" si="1"/>
        <v>0</v>
      </c>
    </row>
    <row r="12" spans="1:11">
      <c r="K12">
        <f>SUM(K9:K11)</f>
        <v>20</v>
      </c>
    </row>
    <row r="13" spans="1:11" ht="15.95">
      <c r="A13" t="s">
        <v>15</v>
      </c>
      <c r="B13" t="s">
        <v>16</v>
      </c>
      <c r="C13" s="5" t="s">
        <v>2</v>
      </c>
      <c r="D13" s="5" t="s">
        <v>14</v>
      </c>
      <c r="E13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t="s">
        <v>9</v>
      </c>
    </row>
    <row r="14" spans="1:11" ht="15.95">
      <c r="B14" s="5" t="s">
        <v>10</v>
      </c>
      <c r="C14" s="5">
        <v>25</v>
      </c>
      <c r="D14" s="5">
        <v>1</v>
      </c>
      <c r="E14" s="5"/>
      <c r="F14" s="5">
        <v>2</v>
      </c>
      <c r="G14" s="5"/>
      <c r="H14" s="5">
        <v>1</v>
      </c>
      <c r="I14" s="5"/>
      <c r="J14" s="5"/>
      <c r="K14">
        <f>SUM(C14:J14)</f>
        <v>29</v>
      </c>
    </row>
    <row r="15" spans="1:11" ht="15.95">
      <c r="B15" s="5" t="s">
        <v>11</v>
      </c>
      <c r="C15" s="5">
        <v>2</v>
      </c>
      <c r="D15" s="5">
        <v>2</v>
      </c>
      <c r="E15" s="5"/>
      <c r="F15" s="5"/>
      <c r="G15" s="5"/>
      <c r="H15" s="5"/>
      <c r="I15" s="5"/>
      <c r="J15" s="5"/>
      <c r="K15">
        <f t="shared" ref="K15:K16" si="2">SUM(C15:J15)</f>
        <v>4</v>
      </c>
    </row>
    <row r="16" spans="1:11">
      <c r="B16" t="s">
        <v>12</v>
      </c>
      <c r="C16">
        <v>4</v>
      </c>
      <c r="K16">
        <f t="shared" si="2"/>
        <v>4</v>
      </c>
    </row>
    <row r="17" spans="1:11">
      <c r="K17">
        <f>SUM(K14:K16)</f>
        <v>37</v>
      </c>
    </row>
    <row r="18" spans="1:11" ht="15.95">
      <c r="A18" t="s">
        <v>15</v>
      </c>
      <c r="B18" t="s">
        <v>16</v>
      </c>
      <c r="C18" s="5" t="s">
        <v>2</v>
      </c>
      <c r="D18" s="5" t="s">
        <v>14</v>
      </c>
      <c r="E18" t="s">
        <v>4</v>
      </c>
      <c r="F18" s="5" t="s">
        <v>5</v>
      </c>
      <c r="G18" s="5" t="s">
        <v>6</v>
      </c>
      <c r="H18" s="5" t="s">
        <v>7</v>
      </c>
      <c r="I18" s="5" t="s">
        <v>8</v>
      </c>
      <c r="J18" t="s">
        <v>9</v>
      </c>
    </row>
    <row r="19" spans="1:11" ht="15.95">
      <c r="B19" s="5" t="s">
        <v>10</v>
      </c>
      <c r="C19" s="5">
        <v>25</v>
      </c>
      <c r="D19" s="5">
        <v>1</v>
      </c>
      <c r="E19" s="5"/>
      <c r="F19" s="5">
        <v>2</v>
      </c>
      <c r="G19" s="5"/>
      <c r="H19" s="5">
        <v>1</v>
      </c>
      <c r="I19" s="5"/>
      <c r="J19" s="5"/>
      <c r="K19">
        <f>SUM(C19:J19)</f>
        <v>29</v>
      </c>
    </row>
    <row r="20" spans="1:11" ht="15.95">
      <c r="B20" s="5" t="s">
        <v>11</v>
      </c>
      <c r="C20" s="5">
        <v>3</v>
      </c>
      <c r="D20" s="5">
        <v>2</v>
      </c>
      <c r="E20" s="5"/>
      <c r="F20" s="5"/>
      <c r="G20" s="5"/>
      <c r="H20" s="5"/>
      <c r="I20" s="5"/>
      <c r="J20" s="5"/>
      <c r="K20">
        <f t="shared" ref="K20:K21" si="3">SUM(C20:J20)</f>
        <v>5</v>
      </c>
    </row>
    <row r="21" spans="1:11">
      <c r="B21" t="s">
        <v>12</v>
      </c>
      <c r="C21">
        <v>3</v>
      </c>
      <c r="K21">
        <f t="shared" si="3"/>
        <v>3</v>
      </c>
    </row>
    <row r="22" spans="1:11">
      <c r="K22">
        <f>SUM(K19:K21)</f>
        <v>37</v>
      </c>
    </row>
    <row r="23" spans="1:11" ht="15.95">
      <c r="A23" t="s">
        <v>15</v>
      </c>
      <c r="B23" t="s">
        <v>17</v>
      </c>
      <c r="C23" s="5" t="s">
        <v>2</v>
      </c>
      <c r="D23" s="5" t="s">
        <v>14</v>
      </c>
      <c r="E23" t="s">
        <v>4</v>
      </c>
      <c r="F23" s="5" t="s">
        <v>5</v>
      </c>
      <c r="G23" s="5" t="s">
        <v>6</v>
      </c>
      <c r="H23" s="5" t="s">
        <v>7</v>
      </c>
      <c r="I23" s="5" t="s">
        <v>8</v>
      </c>
      <c r="J23" t="s">
        <v>9</v>
      </c>
    </row>
    <row r="24" spans="1:11" ht="15.95">
      <c r="B24" s="5" t="s">
        <v>10</v>
      </c>
      <c r="C24" s="5">
        <v>40</v>
      </c>
      <c r="D24" s="5">
        <v>3</v>
      </c>
      <c r="E24" s="5">
        <v>1</v>
      </c>
      <c r="F24" s="5">
        <v>1</v>
      </c>
      <c r="G24" s="5">
        <v>2</v>
      </c>
      <c r="H24" s="5"/>
      <c r="I24" s="5"/>
      <c r="J24" s="5"/>
      <c r="K24">
        <f>SUM(C24:J24)</f>
        <v>47</v>
      </c>
    </row>
    <row r="25" spans="1:11" ht="15.95">
      <c r="B25" s="5" t="s">
        <v>11</v>
      </c>
      <c r="C25" s="5">
        <v>2</v>
      </c>
      <c r="D25" s="5"/>
      <c r="E25" s="5"/>
      <c r="F25" s="5"/>
      <c r="G25" s="5">
        <v>1</v>
      </c>
      <c r="H25" s="5"/>
      <c r="I25" s="5"/>
      <c r="J25" s="5"/>
      <c r="K25">
        <f t="shared" ref="K25:K26" si="4">SUM(C25:J25)</f>
        <v>3</v>
      </c>
    </row>
    <row r="26" spans="1:11">
      <c r="B26" t="s">
        <v>12</v>
      </c>
      <c r="K26">
        <f t="shared" si="4"/>
        <v>0</v>
      </c>
    </row>
    <row r="27" spans="1:11">
      <c r="K27">
        <f>SUM(K24:K26)</f>
        <v>50</v>
      </c>
    </row>
    <row r="28" spans="1:11" ht="15.95">
      <c r="A28" t="s">
        <v>15</v>
      </c>
      <c r="B28" t="s">
        <v>18</v>
      </c>
      <c r="C28" s="5" t="s">
        <v>2</v>
      </c>
      <c r="D28" s="5" t="s">
        <v>14</v>
      </c>
      <c r="E28" t="s">
        <v>4</v>
      </c>
      <c r="F28" s="5" t="s">
        <v>5</v>
      </c>
      <c r="G28" s="5" t="s">
        <v>6</v>
      </c>
      <c r="H28" s="5" t="s">
        <v>7</v>
      </c>
      <c r="I28" s="5" t="s">
        <v>8</v>
      </c>
      <c r="J28" t="s">
        <v>9</v>
      </c>
    </row>
    <row r="29" spans="1:11" ht="15.95">
      <c r="B29" s="5" t="s">
        <v>10</v>
      </c>
      <c r="C29" s="5">
        <v>33</v>
      </c>
      <c r="D29" s="5">
        <v>1</v>
      </c>
      <c r="E29" s="5"/>
      <c r="F29" s="5">
        <v>3</v>
      </c>
      <c r="G29" s="5"/>
      <c r="H29" s="5"/>
      <c r="I29" s="5"/>
      <c r="J29" s="5"/>
      <c r="K29">
        <f>SUM(C29:J29)</f>
        <v>37</v>
      </c>
    </row>
    <row r="30" spans="1:11" ht="15.95">
      <c r="B30" s="5" t="s">
        <v>11</v>
      </c>
      <c r="C30" s="5">
        <v>7</v>
      </c>
      <c r="D30" s="5"/>
      <c r="E30" s="5"/>
      <c r="F30" s="5"/>
      <c r="G30" s="5"/>
      <c r="H30" s="5"/>
      <c r="I30" s="5"/>
      <c r="J30" s="5"/>
      <c r="K30">
        <f t="shared" ref="K30:K31" si="5">SUM(C30:J30)</f>
        <v>7</v>
      </c>
    </row>
    <row r="31" spans="1:11">
      <c r="B31" t="s">
        <v>12</v>
      </c>
      <c r="C31">
        <v>1</v>
      </c>
      <c r="K31">
        <f t="shared" si="5"/>
        <v>1</v>
      </c>
    </row>
    <row r="32" spans="1:11">
      <c r="K32">
        <f>SUM(K29:K31)</f>
        <v>45</v>
      </c>
    </row>
    <row r="34" spans="1:27" ht="15.95">
      <c r="A34" t="s">
        <v>15</v>
      </c>
      <c r="B34" t="s">
        <v>19</v>
      </c>
      <c r="C34" s="5" t="s">
        <v>2</v>
      </c>
      <c r="D34" s="5" t="s">
        <v>14</v>
      </c>
      <c r="E34" t="s">
        <v>4</v>
      </c>
      <c r="F34" s="5" t="s">
        <v>5</v>
      </c>
      <c r="G34" s="5" t="s">
        <v>6</v>
      </c>
      <c r="H34" s="5" t="s">
        <v>7</v>
      </c>
      <c r="I34" s="5" t="s">
        <v>8</v>
      </c>
      <c r="J34" t="s">
        <v>9</v>
      </c>
    </row>
    <row r="35" spans="1:27" ht="15.95">
      <c r="B35" s="5" t="s">
        <v>10</v>
      </c>
      <c r="C35" s="5">
        <v>12</v>
      </c>
      <c r="D35" s="5">
        <v>1</v>
      </c>
      <c r="E35" s="5"/>
      <c r="F35" s="5"/>
      <c r="G35" s="5"/>
      <c r="H35" s="5"/>
      <c r="I35" s="5">
        <v>1</v>
      </c>
      <c r="J35" s="5">
        <v>1</v>
      </c>
      <c r="K35">
        <f>SUM(C35:J35)</f>
        <v>15</v>
      </c>
    </row>
    <row r="36" spans="1:27" ht="15.95">
      <c r="B36" s="5" t="s">
        <v>11</v>
      </c>
      <c r="C36" s="5">
        <v>2</v>
      </c>
      <c r="D36" s="5"/>
      <c r="E36" s="5"/>
      <c r="F36" s="5"/>
      <c r="G36" s="5"/>
      <c r="H36" s="5"/>
      <c r="I36" s="5"/>
      <c r="J36" s="5"/>
      <c r="K36">
        <f t="shared" ref="K36:K37" si="6">SUM(C36:J36)</f>
        <v>2</v>
      </c>
    </row>
    <row r="37" spans="1:27">
      <c r="B37" t="s">
        <v>12</v>
      </c>
      <c r="K37">
        <f t="shared" si="6"/>
        <v>0</v>
      </c>
    </row>
    <row r="38" spans="1:27">
      <c r="K38">
        <f>SUM(K35:K37)</f>
        <v>17</v>
      </c>
    </row>
    <row r="40" spans="1:27">
      <c r="A40" s="4">
        <v>45463</v>
      </c>
      <c r="B40" t="s">
        <v>16</v>
      </c>
      <c r="C40" t="s">
        <v>20</v>
      </c>
      <c r="D40">
        <v>29</v>
      </c>
      <c r="E40">
        <v>4</v>
      </c>
      <c r="F40">
        <v>4</v>
      </c>
      <c r="G40">
        <f t="shared" ref="G40:G42" si="7">E40+D40+F40</f>
        <v>37</v>
      </c>
      <c r="H40" t="s">
        <v>20</v>
      </c>
      <c r="I40">
        <v>29</v>
      </c>
      <c r="J40">
        <v>5</v>
      </c>
      <c r="K40">
        <v>3</v>
      </c>
      <c r="L40">
        <f t="shared" ref="L40" si="8">J40+I40+K40</f>
        <v>37</v>
      </c>
      <c r="W40" s="14">
        <f>AVERAGE(D40,I40,N40,S40,AC40,AH40)</f>
        <v>29</v>
      </c>
      <c r="X40" s="14">
        <f t="shared" ref="X40:X42" si="9">AVERAGE(E40,J40,O40,T40)</f>
        <v>4.5</v>
      </c>
      <c r="Y40" s="14">
        <f>AVERAGE(F40,K40,P40,U40,AE40,AJ35)</f>
        <v>3.5</v>
      </c>
      <c r="Z40" s="14">
        <f t="shared" ref="Z40:Z41" si="10">AVERAGE(G40,L40,Q40,V40)</f>
        <v>37</v>
      </c>
      <c r="AA40" t="str">
        <f t="shared" ref="AA40:AA42" si="11">B40</f>
        <v>B1: rinse bottle</v>
      </c>
    </row>
    <row r="41" spans="1:27">
      <c r="A41" t="s">
        <v>21</v>
      </c>
      <c r="B41" t="s">
        <v>22</v>
      </c>
      <c r="C41" t="s">
        <v>20</v>
      </c>
      <c r="D41">
        <v>40</v>
      </c>
      <c r="E41">
        <v>3</v>
      </c>
      <c r="F41">
        <v>0</v>
      </c>
      <c r="G41">
        <f t="shared" si="7"/>
        <v>43</v>
      </c>
      <c r="W41" s="14">
        <f>AVERAGE(D41,I41,N41,S41,AC41,AH41)</f>
        <v>40</v>
      </c>
      <c r="X41" s="14">
        <f t="shared" si="9"/>
        <v>3</v>
      </c>
      <c r="Y41" s="14">
        <f>AVERAGE(F41,K41,P41,U41,AE41,AJ38)</f>
        <v>0</v>
      </c>
      <c r="Z41" s="14">
        <f t="shared" si="10"/>
        <v>43</v>
      </c>
      <c r="AA41" t="str">
        <f t="shared" si="11"/>
        <v>B2: no rinse bottle</v>
      </c>
    </row>
    <row r="42" spans="1:27">
      <c r="B42" t="s">
        <v>23</v>
      </c>
      <c r="C42" t="s">
        <v>20</v>
      </c>
      <c r="D42">
        <v>37</v>
      </c>
      <c r="E42">
        <v>7</v>
      </c>
      <c r="F42">
        <v>1</v>
      </c>
      <c r="G42">
        <f t="shared" si="7"/>
        <v>45</v>
      </c>
      <c r="W42" s="14">
        <f>AVERAGE(D42,I42,N42,S42,AC42,AH42)</f>
        <v>37</v>
      </c>
      <c r="X42" s="14">
        <f t="shared" si="9"/>
        <v>7</v>
      </c>
      <c r="Y42" s="14">
        <f>AVERAGE(F42,K42,P42,U42,AE42,AJ39)</f>
        <v>1</v>
      </c>
      <c r="Z42" s="14">
        <f>AVERAGE(G42,L42,Q42,V42)</f>
        <v>45</v>
      </c>
      <c r="AA42" t="str">
        <f t="shared" si="11"/>
        <v>B3: rinse+acid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C82C-23AA-4DDE-92F4-E290779AA779}">
  <dimension ref="A1:BI318"/>
  <sheetViews>
    <sheetView topLeftCell="A318" zoomScale="75" workbookViewId="0">
      <selection activeCell="A319" sqref="A319"/>
    </sheetView>
  </sheetViews>
  <sheetFormatPr defaultColWidth="8.85546875" defaultRowHeight="15" customHeight="1"/>
  <sheetData>
    <row r="1" spans="1:61" ht="15.95">
      <c r="A1" t="s">
        <v>0</v>
      </c>
      <c r="B1" t="s">
        <v>24</v>
      </c>
      <c r="C1" t="s">
        <v>25</v>
      </c>
      <c r="D1" t="s">
        <v>14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13</v>
      </c>
      <c r="O1" s="5" t="s">
        <v>24</v>
      </c>
      <c r="P1" t="s">
        <v>25</v>
      </c>
      <c r="Q1" s="5" t="s">
        <v>14</v>
      </c>
      <c r="R1" t="s">
        <v>4</v>
      </c>
      <c r="S1" s="5" t="s">
        <v>5</v>
      </c>
      <c r="T1" s="5" t="s">
        <v>6</v>
      </c>
      <c r="U1" s="5" t="s">
        <v>7</v>
      </c>
      <c r="V1" s="5" t="s">
        <v>8</v>
      </c>
      <c r="W1" t="s">
        <v>9</v>
      </c>
      <c r="AA1" s="5"/>
      <c r="AB1" t="s">
        <v>25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L1" t="s">
        <v>20</v>
      </c>
      <c r="AM1" s="5"/>
      <c r="AN1" t="s">
        <v>25</v>
      </c>
      <c r="AO1" t="s">
        <v>3</v>
      </c>
      <c r="AP1" t="s">
        <v>4</v>
      </c>
      <c r="AQ1" t="s">
        <v>5</v>
      </c>
      <c r="AR1" t="s">
        <v>6</v>
      </c>
      <c r="AS1" t="s">
        <v>7</v>
      </c>
      <c r="AT1" t="s">
        <v>8</v>
      </c>
      <c r="AU1" t="s">
        <v>9</v>
      </c>
      <c r="AX1" t="s">
        <v>26</v>
      </c>
      <c r="AY1" s="5" t="s">
        <v>24</v>
      </c>
      <c r="AZ1" t="s">
        <v>25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</row>
    <row r="2" spans="1:61" ht="15.95">
      <c r="B2" t="s">
        <v>10</v>
      </c>
      <c r="C2">
        <v>21</v>
      </c>
      <c r="D2">
        <v>3</v>
      </c>
      <c r="E2">
        <v>0</v>
      </c>
      <c r="F2">
        <v>3</v>
      </c>
      <c r="G2">
        <v>6</v>
      </c>
      <c r="H2">
        <v>0</v>
      </c>
      <c r="I2">
        <v>0</v>
      </c>
      <c r="J2">
        <v>0</v>
      </c>
      <c r="K2">
        <f>SUM(C2:J2)</f>
        <v>33</v>
      </c>
      <c r="O2" s="5" t="s">
        <v>10</v>
      </c>
      <c r="P2" s="5">
        <v>9</v>
      </c>
      <c r="Q2" s="5">
        <v>0</v>
      </c>
      <c r="R2" s="5">
        <v>4</v>
      </c>
      <c r="S2" s="5">
        <v>0</v>
      </c>
      <c r="T2" s="5">
        <v>1</v>
      </c>
      <c r="U2" s="5">
        <v>0</v>
      </c>
      <c r="V2" s="5">
        <v>2</v>
      </c>
      <c r="W2" s="5">
        <v>0</v>
      </c>
      <c r="X2">
        <f>SUM(P2:W2)</f>
        <v>16</v>
      </c>
      <c r="AA2" s="5" t="s">
        <v>10</v>
      </c>
      <c r="AM2" s="5" t="s">
        <v>10</v>
      </c>
      <c r="AY2" s="5" t="s">
        <v>10</v>
      </c>
      <c r="AZ2">
        <f>AVERAGE(C2,P2,AB2,AN2)</f>
        <v>15</v>
      </c>
      <c r="BA2">
        <f t="shared" ref="BA2:BA3" si="0">AVERAGE(D2,Q2,AC2,AO2)</f>
        <v>1.5</v>
      </c>
      <c r="BB2">
        <f t="shared" ref="BB2:BB3" si="1">AVERAGE(E2,R2,AD2,AP2)</f>
        <v>2</v>
      </c>
      <c r="BC2">
        <f t="shared" ref="BC2:BC3" si="2">AVERAGE(F2,S2,AE2,AQ2)</f>
        <v>1.5</v>
      </c>
      <c r="BD2">
        <f t="shared" ref="BD2:BD3" si="3">AVERAGE(G2,T2,AF2,AR2)</f>
        <v>3.5</v>
      </c>
      <c r="BE2">
        <f t="shared" ref="BE2:BE3" si="4">AVERAGE(H2,U2,AG2,AS2)</f>
        <v>0</v>
      </c>
      <c r="BF2">
        <f t="shared" ref="BF2:BF3" si="5">AVERAGE(I2,V2,AH2,AT2)</f>
        <v>1</v>
      </c>
      <c r="BG2">
        <f t="shared" ref="BG2:BG3" si="6">AVERAGE(J2,W2,AI2,AU2)</f>
        <v>0</v>
      </c>
      <c r="BH2">
        <f t="shared" ref="BH2:BH3" si="7">SUM(AZ2:BG2)</f>
        <v>24.5</v>
      </c>
      <c r="BI2">
        <f>AVERAGE(K2, X2)</f>
        <v>24.5</v>
      </c>
    </row>
    <row r="3" spans="1:61" ht="15.95"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  <c r="K3">
        <f>SUM(C3:J3)</f>
        <v>2</v>
      </c>
      <c r="O3" s="5" t="s">
        <v>11</v>
      </c>
      <c r="P3" s="5">
        <v>2</v>
      </c>
      <c r="Q3" s="5">
        <v>0</v>
      </c>
      <c r="R3" s="5">
        <v>5</v>
      </c>
      <c r="S3" s="5">
        <v>0</v>
      </c>
      <c r="T3" s="5">
        <v>0</v>
      </c>
      <c r="U3" s="5">
        <v>0</v>
      </c>
      <c r="V3" s="5">
        <v>5</v>
      </c>
      <c r="W3" s="5">
        <v>0</v>
      </c>
      <c r="X3">
        <f>SUM(P3:V3)</f>
        <v>12</v>
      </c>
      <c r="AA3" s="5" t="s">
        <v>11</v>
      </c>
      <c r="AM3" s="5" t="s">
        <v>11</v>
      </c>
      <c r="AY3" s="5" t="s">
        <v>11</v>
      </c>
      <c r="AZ3">
        <f t="shared" ref="AZ3" si="8">AVERAGE(C3,P3,AB3,AN3)</f>
        <v>1</v>
      </c>
      <c r="BA3">
        <f t="shared" si="0"/>
        <v>0</v>
      </c>
      <c r="BB3">
        <f t="shared" si="1"/>
        <v>2.5</v>
      </c>
      <c r="BC3">
        <f t="shared" si="2"/>
        <v>0</v>
      </c>
      <c r="BD3">
        <f t="shared" si="3"/>
        <v>0</v>
      </c>
      <c r="BE3">
        <f t="shared" si="4"/>
        <v>1</v>
      </c>
      <c r="BF3">
        <f t="shared" si="5"/>
        <v>2.5</v>
      </c>
      <c r="BG3">
        <f t="shared" si="6"/>
        <v>0</v>
      </c>
      <c r="BH3">
        <f t="shared" si="7"/>
        <v>7</v>
      </c>
      <c r="BI3">
        <f t="shared" ref="BI3" si="9">AVERAGE(K3, X3)</f>
        <v>7</v>
      </c>
    </row>
    <row r="4" spans="1:61">
      <c r="K4">
        <f>K2+K3</f>
        <v>35</v>
      </c>
      <c r="X4">
        <f>X2+X3</f>
        <v>28</v>
      </c>
      <c r="AA4" t="s">
        <v>12</v>
      </c>
      <c r="AM4" t="s">
        <v>12</v>
      </c>
      <c r="AY4" t="s">
        <v>12</v>
      </c>
    </row>
    <row r="5" spans="1:61">
      <c r="BH5">
        <f t="shared" ref="BH5" si="10">SUM(BH2:BH4)</f>
        <v>31.5</v>
      </c>
      <c r="BI5">
        <f>AVERAGE(K4, X4)</f>
        <v>31.5</v>
      </c>
    </row>
    <row r="6" spans="1:61" ht="15.95">
      <c r="A6" t="s">
        <v>0</v>
      </c>
      <c r="B6" t="s">
        <v>27</v>
      </c>
      <c r="C6" t="s">
        <v>25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N6" t="s">
        <v>13</v>
      </c>
      <c r="O6" s="5" t="s">
        <v>27</v>
      </c>
      <c r="P6" t="s">
        <v>25</v>
      </c>
      <c r="Q6" s="5" t="s">
        <v>14</v>
      </c>
      <c r="R6" t="s">
        <v>4</v>
      </c>
      <c r="S6" s="5" t="s">
        <v>5</v>
      </c>
      <c r="T6" s="5" t="s">
        <v>6</v>
      </c>
      <c r="U6" s="5" t="s">
        <v>7</v>
      </c>
      <c r="V6" s="5" t="s">
        <v>8</v>
      </c>
      <c r="W6" t="s">
        <v>9</v>
      </c>
      <c r="AX6" t="s">
        <v>26</v>
      </c>
      <c r="AY6" s="5" t="s">
        <v>27</v>
      </c>
      <c r="AZ6" t="s">
        <v>25</v>
      </c>
      <c r="BA6" t="s">
        <v>3</v>
      </c>
      <c r="BB6" t="s">
        <v>4</v>
      </c>
      <c r="BC6" t="s">
        <v>5</v>
      </c>
      <c r="BD6" t="s">
        <v>6</v>
      </c>
      <c r="BE6" t="s">
        <v>7</v>
      </c>
      <c r="BF6" t="s">
        <v>8</v>
      </c>
      <c r="BG6" t="s">
        <v>9</v>
      </c>
    </row>
    <row r="7" spans="1:61" ht="15.95">
      <c r="B7" t="s">
        <v>10</v>
      </c>
      <c r="C7">
        <v>30</v>
      </c>
      <c r="D7">
        <v>2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f>SUM(C7:J7)</f>
        <v>34</v>
      </c>
      <c r="O7" s="5" t="s">
        <v>10</v>
      </c>
      <c r="P7" s="5">
        <v>20</v>
      </c>
      <c r="Q7" s="5">
        <v>0</v>
      </c>
      <c r="R7" s="5">
        <v>6</v>
      </c>
      <c r="S7" s="5">
        <v>0</v>
      </c>
      <c r="T7" s="5">
        <v>4</v>
      </c>
      <c r="U7" s="5">
        <v>1</v>
      </c>
      <c r="V7" s="5">
        <v>0</v>
      </c>
      <c r="W7" s="5">
        <v>0</v>
      </c>
      <c r="X7">
        <f>SUM(P7:W7)</f>
        <v>31</v>
      </c>
      <c r="AY7" s="5" t="s">
        <v>10</v>
      </c>
      <c r="AZ7">
        <f>AVERAGE(C7,P7,AB7,AN7)</f>
        <v>25</v>
      </c>
      <c r="BA7">
        <f t="shared" ref="BA7:BA8" si="11">AVERAGE(D7,Q7,AC7,AO7)</f>
        <v>1</v>
      </c>
      <c r="BB7">
        <f t="shared" ref="BB7:BB8" si="12">AVERAGE(E7,R7,AD7,AP7)</f>
        <v>3</v>
      </c>
      <c r="BC7">
        <f t="shared" ref="BC7:BC8" si="13">AVERAGE(F7,S7,AE7,AQ7)</f>
        <v>1</v>
      </c>
      <c r="BD7">
        <f t="shared" ref="BD7:BD8" si="14">AVERAGE(G7,T7,AF7,AR7)</f>
        <v>2</v>
      </c>
      <c r="BE7">
        <f t="shared" ref="BE7:BE8" si="15">AVERAGE(H7,U7,AG7,AS7)</f>
        <v>0.5</v>
      </c>
      <c r="BF7">
        <f t="shared" ref="BF7:BF8" si="16">AVERAGE(I7,V7,AH7,AT7)</f>
        <v>0</v>
      </c>
      <c r="BG7">
        <f t="shared" ref="BG7:BG8" si="17">AVERAGE(J7,W7,AI7,AU7)</f>
        <v>0</v>
      </c>
      <c r="BH7">
        <f t="shared" ref="BH7:BH8" si="18">SUM(AZ7:BG7)</f>
        <v>32.5</v>
      </c>
      <c r="BI7">
        <f>AVERAGE(K7, X7)</f>
        <v>32.5</v>
      </c>
    </row>
    <row r="8" spans="1:61" ht="15.95">
      <c r="B8" t="s">
        <v>11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>SUM(C8:J8)</f>
        <v>7</v>
      </c>
      <c r="O8" s="5" t="s">
        <v>11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  <c r="X8">
        <f>SUM(P8:V8)</f>
        <v>3</v>
      </c>
      <c r="AY8" s="5" t="s">
        <v>11</v>
      </c>
      <c r="AZ8">
        <f t="shared" ref="AZ8" si="19">AVERAGE(C8,P8,AB8,AN8)</f>
        <v>4</v>
      </c>
      <c r="BA8">
        <f t="shared" si="11"/>
        <v>0</v>
      </c>
      <c r="BB8">
        <f t="shared" si="12"/>
        <v>0</v>
      </c>
      <c r="BC8">
        <f t="shared" si="13"/>
        <v>0</v>
      </c>
      <c r="BD8">
        <f t="shared" si="14"/>
        <v>0</v>
      </c>
      <c r="BE8">
        <f t="shared" si="15"/>
        <v>0</v>
      </c>
      <c r="BF8">
        <f t="shared" si="16"/>
        <v>1</v>
      </c>
      <c r="BG8">
        <f t="shared" si="17"/>
        <v>0</v>
      </c>
      <c r="BH8">
        <f t="shared" si="18"/>
        <v>5</v>
      </c>
      <c r="BI8">
        <f t="shared" ref="BI8" si="20">AVERAGE(K8, X8)</f>
        <v>5</v>
      </c>
    </row>
    <row r="9" spans="1:61">
      <c r="K9">
        <f>K7+K8</f>
        <v>41</v>
      </c>
      <c r="X9">
        <f>X7+X8</f>
        <v>34</v>
      </c>
      <c r="AY9" t="s">
        <v>12</v>
      </c>
    </row>
    <row r="10" spans="1:61" ht="15" customHeight="1">
      <c r="BH10">
        <f t="shared" ref="BH10" si="21">SUM(BH7:BH9)</f>
        <v>37.5</v>
      </c>
      <c r="BI10">
        <f t="shared" ref="BI10:BI60" si="22">AVERAGE(K9, X9)</f>
        <v>37.5</v>
      </c>
    </row>
    <row r="11" spans="1:61" ht="15.95">
      <c r="A11" t="s">
        <v>0</v>
      </c>
      <c r="B11" t="s">
        <v>28</v>
      </c>
      <c r="C11" t="s">
        <v>25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AX11" t="s">
        <v>26</v>
      </c>
      <c r="AY11" s="5" t="s">
        <v>28</v>
      </c>
      <c r="AZ11" t="s">
        <v>25</v>
      </c>
      <c r="BA11" t="s">
        <v>3</v>
      </c>
      <c r="BB11" t="s">
        <v>4</v>
      </c>
      <c r="BC11" t="s">
        <v>5</v>
      </c>
      <c r="BD11" t="s">
        <v>6</v>
      </c>
      <c r="BE11" t="s">
        <v>7</v>
      </c>
      <c r="BF11" t="s">
        <v>8</v>
      </c>
      <c r="BG11" t="s">
        <v>9</v>
      </c>
    </row>
    <row r="12" spans="1:61" ht="15.95">
      <c r="B12" t="s">
        <v>10</v>
      </c>
      <c r="C12">
        <v>24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f>SUM(C12:J12)</f>
        <v>25</v>
      </c>
      <c r="W12" s="5"/>
      <c r="AY12" s="5" t="s">
        <v>10</v>
      </c>
      <c r="AZ12">
        <f>AVERAGE(C12,P12,AB12,AN12)</f>
        <v>24</v>
      </c>
      <c r="BA12">
        <f t="shared" ref="BA12:BA13" si="23">AVERAGE(D12,Q12,AC12,AO12)</f>
        <v>0</v>
      </c>
      <c r="BB12">
        <f t="shared" ref="BB12:BB13" si="24">AVERAGE(E12,R12,AD12,AP12)</f>
        <v>0</v>
      </c>
      <c r="BC12">
        <f t="shared" ref="BC12:BC13" si="25">AVERAGE(F12,S12,AE12,AQ12)</f>
        <v>1</v>
      </c>
      <c r="BD12">
        <f t="shared" ref="BD12:BD13" si="26">AVERAGE(G12,T12,AF12,AR12)</f>
        <v>0</v>
      </c>
      <c r="BE12">
        <f t="shared" ref="BE12:BE13" si="27">AVERAGE(H12,U12,AG12,AS12)</f>
        <v>0</v>
      </c>
      <c r="BF12">
        <f t="shared" ref="BF12:BF13" si="28">AVERAGE(I12,V12,AH12,AT12)</f>
        <v>0</v>
      </c>
      <c r="BG12">
        <f t="shared" ref="BG12:BG13" si="29">AVERAGE(J12,W12,AI12,AU12)</f>
        <v>0</v>
      </c>
      <c r="BH12">
        <f t="shared" ref="BH12:BH13" si="30">SUM(AZ12:BG12)</f>
        <v>25</v>
      </c>
    </row>
    <row r="13" spans="1:61" ht="15.95">
      <c r="B13" t="s">
        <v>11</v>
      </c>
      <c r="C13">
        <v>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>SUM(C13:J13)</f>
        <v>7</v>
      </c>
      <c r="W13" s="5"/>
      <c r="AY13" s="5" t="s">
        <v>11</v>
      </c>
      <c r="AZ13">
        <f t="shared" ref="AZ13" si="31">AVERAGE(C13,P13,AB13,AN13)</f>
        <v>7</v>
      </c>
      <c r="BA13">
        <f t="shared" si="23"/>
        <v>0</v>
      </c>
      <c r="BB13">
        <f t="shared" si="24"/>
        <v>0</v>
      </c>
      <c r="BC13">
        <f t="shared" si="25"/>
        <v>0</v>
      </c>
      <c r="BD13">
        <f t="shared" si="26"/>
        <v>0</v>
      </c>
      <c r="BE13">
        <f t="shared" si="27"/>
        <v>0</v>
      </c>
      <c r="BF13">
        <f t="shared" si="28"/>
        <v>0</v>
      </c>
      <c r="BG13">
        <f t="shared" si="29"/>
        <v>0</v>
      </c>
      <c r="BH13">
        <f t="shared" si="30"/>
        <v>7</v>
      </c>
    </row>
    <row r="14" spans="1:61">
      <c r="K14">
        <f>K12+K13</f>
        <v>32</v>
      </c>
      <c r="AY14" t="s">
        <v>12</v>
      </c>
    </row>
    <row r="15" spans="1:61" ht="15" customHeight="1">
      <c r="BH15">
        <f t="shared" ref="BH15" si="32">SUM(BH12:BH14)</f>
        <v>32</v>
      </c>
      <c r="BI15">
        <f t="shared" si="22"/>
        <v>32</v>
      </c>
    </row>
    <row r="16" spans="1:61" ht="15.95">
      <c r="A16" t="s">
        <v>0</v>
      </c>
      <c r="B16" t="s">
        <v>29</v>
      </c>
      <c r="C16" t="s">
        <v>25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O16" s="5"/>
      <c r="S16" s="5"/>
      <c r="T16" s="5"/>
      <c r="U16" s="5"/>
      <c r="V16" s="5"/>
      <c r="AX16" t="s">
        <v>26</v>
      </c>
      <c r="AY16" s="5" t="s">
        <v>29</v>
      </c>
      <c r="AZ16" t="s">
        <v>25</v>
      </c>
      <c r="BA16" t="s">
        <v>3</v>
      </c>
      <c r="BB16" t="s">
        <v>4</v>
      </c>
      <c r="BC16" t="s">
        <v>5</v>
      </c>
      <c r="BD16" t="s">
        <v>6</v>
      </c>
      <c r="BE16" t="s">
        <v>7</v>
      </c>
      <c r="BF16" t="s">
        <v>8</v>
      </c>
      <c r="BG16" t="s">
        <v>9</v>
      </c>
    </row>
    <row r="17" spans="1:61" ht="15.95">
      <c r="B17" t="s">
        <v>10</v>
      </c>
      <c r="C17">
        <v>11</v>
      </c>
      <c r="D17">
        <v>0</v>
      </c>
      <c r="E17">
        <v>0</v>
      </c>
      <c r="F17">
        <v>2</v>
      </c>
      <c r="G17">
        <v>0</v>
      </c>
      <c r="H17">
        <v>0</v>
      </c>
      <c r="I17">
        <v>1</v>
      </c>
      <c r="J17">
        <v>0</v>
      </c>
      <c r="K17">
        <f>SUM(C17:J17)</f>
        <v>14</v>
      </c>
      <c r="O17" s="5"/>
      <c r="P17" s="5"/>
      <c r="Q17" s="5"/>
      <c r="R17" s="5"/>
      <c r="S17" s="5"/>
      <c r="T17" s="5"/>
      <c r="U17" s="5"/>
      <c r="V17" s="5"/>
      <c r="W17" s="5"/>
      <c r="AY17" s="5" t="s">
        <v>10</v>
      </c>
      <c r="AZ17">
        <f>AVERAGE(C17,P17,AB17,AN17)</f>
        <v>11</v>
      </c>
      <c r="BA17">
        <f t="shared" ref="BA17:BA18" si="33">AVERAGE(D17,Q17,AC17,AO17)</f>
        <v>0</v>
      </c>
      <c r="BB17">
        <f t="shared" ref="BB17:BB18" si="34">AVERAGE(E17,R17,AD17,AP17)</f>
        <v>0</v>
      </c>
      <c r="BC17">
        <f t="shared" ref="BC17:BC18" si="35">AVERAGE(F17,S17,AE17,AQ17)</f>
        <v>2</v>
      </c>
      <c r="BD17">
        <f t="shared" ref="BD17:BD18" si="36">AVERAGE(G17,T17,AF17,AR17)</f>
        <v>0</v>
      </c>
      <c r="BE17">
        <f t="shared" ref="BE17:BE18" si="37">AVERAGE(H17,U17,AG17,AS17)</f>
        <v>0</v>
      </c>
      <c r="BF17">
        <f t="shared" ref="BF17:BF18" si="38">AVERAGE(I17,V17,AH17,AT17)</f>
        <v>1</v>
      </c>
      <c r="BG17">
        <f t="shared" ref="BG17:BG18" si="39">AVERAGE(J17,W17,AI17,AU17)</f>
        <v>0</v>
      </c>
      <c r="BH17">
        <f t="shared" ref="BH17:BH18" si="40">SUM(AZ17:BG17)</f>
        <v>14</v>
      </c>
    </row>
    <row r="18" spans="1:61" ht="15.95">
      <c r="B18" t="s">
        <v>11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>SUM(C18:J18)</f>
        <v>3</v>
      </c>
      <c r="O18" s="5"/>
      <c r="P18" s="5"/>
      <c r="Q18" s="5"/>
      <c r="R18" s="5"/>
      <c r="S18" s="5"/>
      <c r="T18" s="5"/>
      <c r="U18" s="5"/>
      <c r="V18" s="5"/>
      <c r="W18" s="5"/>
      <c r="AY18" s="5" t="s">
        <v>11</v>
      </c>
      <c r="AZ18">
        <f t="shared" ref="AZ18" si="41">AVERAGE(C18,P18,AB18,AN18)</f>
        <v>3</v>
      </c>
      <c r="BA18">
        <f t="shared" si="33"/>
        <v>0</v>
      </c>
      <c r="BB18">
        <f t="shared" si="34"/>
        <v>0</v>
      </c>
      <c r="BC18">
        <f t="shared" si="35"/>
        <v>0</v>
      </c>
      <c r="BD18">
        <f t="shared" si="36"/>
        <v>0</v>
      </c>
      <c r="BE18">
        <f t="shared" si="37"/>
        <v>0</v>
      </c>
      <c r="BF18">
        <f t="shared" si="38"/>
        <v>0</v>
      </c>
      <c r="BG18">
        <f t="shared" si="39"/>
        <v>0</v>
      </c>
      <c r="BH18">
        <f t="shared" si="40"/>
        <v>3</v>
      </c>
    </row>
    <row r="19" spans="1:61">
      <c r="K19">
        <f>K17+K18</f>
        <v>17</v>
      </c>
      <c r="AY19" t="s">
        <v>12</v>
      </c>
    </row>
    <row r="20" spans="1:61" ht="15" customHeight="1">
      <c r="BH20">
        <f t="shared" ref="BH20" si="42">SUM(BH17:BH19)</f>
        <v>17</v>
      </c>
      <c r="BI20">
        <f t="shared" si="22"/>
        <v>17</v>
      </c>
    </row>
    <row r="21" spans="1:61" ht="15.95">
      <c r="A21" t="s">
        <v>0</v>
      </c>
      <c r="B21" t="s">
        <v>30</v>
      </c>
      <c r="C21" t="s">
        <v>25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O21" s="5"/>
      <c r="S21" s="5"/>
      <c r="T21" s="5"/>
      <c r="U21" s="5"/>
      <c r="V21" s="5"/>
      <c r="AX21" t="s">
        <v>26</v>
      </c>
      <c r="AY21" s="5" t="s">
        <v>30</v>
      </c>
      <c r="AZ21" t="s">
        <v>25</v>
      </c>
      <c r="BA21" t="s">
        <v>3</v>
      </c>
      <c r="BB21" t="s">
        <v>4</v>
      </c>
      <c r="BC21" t="s">
        <v>5</v>
      </c>
      <c r="BD21" t="s">
        <v>6</v>
      </c>
      <c r="BE21" t="s">
        <v>7</v>
      </c>
      <c r="BF21" t="s">
        <v>8</v>
      </c>
      <c r="BG21" t="s">
        <v>9</v>
      </c>
    </row>
    <row r="22" spans="1:61" ht="15.95">
      <c r="B22" t="s">
        <v>10</v>
      </c>
      <c r="C22">
        <v>22</v>
      </c>
      <c r="D22">
        <v>1</v>
      </c>
      <c r="E22">
        <v>0</v>
      </c>
      <c r="F22">
        <v>3</v>
      </c>
      <c r="G22">
        <v>0</v>
      </c>
      <c r="H22">
        <v>0</v>
      </c>
      <c r="I22">
        <v>1</v>
      </c>
      <c r="J22">
        <v>0</v>
      </c>
      <c r="K22">
        <f>SUM(C22:I22)</f>
        <v>27</v>
      </c>
      <c r="O22" s="5"/>
      <c r="P22" s="5"/>
      <c r="Q22" s="5"/>
      <c r="R22" s="5"/>
      <c r="S22" s="5"/>
      <c r="T22" s="5"/>
      <c r="U22" s="5"/>
      <c r="V22" s="5"/>
      <c r="W22" s="5"/>
      <c r="AY22" s="5" t="s">
        <v>10</v>
      </c>
      <c r="AZ22">
        <f>AVERAGE(C22,P22,AB22,AN22)</f>
        <v>22</v>
      </c>
      <c r="BA22">
        <f t="shared" ref="BA22:BA23" si="43">AVERAGE(D22,Q22,AC22,AO22)</f>
        <v>1</v>
      </c>
      <c r="BB22">
        <f t="shared" ref="BB22:BB23" si="44">AVERAGE(E22,R22,AD22,AP22)</f>
        <v>0</v>
      </c>
      <c r="BC22">
        <f t="shared" ref="BC22:BC23" si="45">AVERAGE(F22,S22,AE22,AQ22)</f>
        <v>3</v>
      </c>
      <c r="BD22">
        <f t="shared" ref="BD22:BD23" si="46">AVERAGE(G22,T22,AF22,AR22)</f>
        <v>0</v>
      </c>
      <c r="BE22">
        <f t="shared" ref="BE22:BE23" si="47">AVERAGE(H22,U22,AG22,AS22)</f>
        <v>0</v>
      </c>
      <c r="BF22">
        <f t="shared" ref="BF22:BF23" si="48">AVERAGE(I22,V22,AH22,AT22)</f>
        <v>1</v>
      </c>
      <c r="BG22">
        <f t="shared" ref="BG22:BG23" si="49">AVERAGE(J22,W22,AI22,AU22)</f>
        <v>0</v>
      </c>
      <c r="BH22">
        <f t="shared" ref="BH22:BH23" si="50">SUM(AZ22:BG22)</f>
        <v>27</v>
      </c>
    </row>
    <row r="23" spans="1:61" ht="15.95">
      <c r="B23" t="s">
        <v>11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>SUM(C23:I23)</f>
        <v>5</v>
      </c>
      <c r="O23" s="5"/>
      <c r="P23" s="5"/>
      <c r="Q23" s="5"/>
      <c r="R23" s="5"/>
      <c r="S23" s="5"/>
      <c r="T23" s="5"/>
      <c r="U23" s="5"/>
      <c r="V23" s="5"/>
      <c r="W23" s="5"/>
      <c r="AY23" s="5" t="s">
        <v>11</v>
      </c>
      <c r="AZ23">
        <f t="shared" ref="AZ23" si="51">AVERAGE(C23,P23,AB23,AN23)</f>
        <v>5</v>
      </c>
      <c r="BA23">
        <f t="shared" si="43"/>
        <v>0</v>
      </c>
      <c r="BB23">
        <f t="shared" si="44"/>
        <v>0</v>
      </c>
      <c r="BC23">
        <f t="shared" si="45"/>
        <v>0</v>
      </c>
      <c r="BD23">
        <f t="shared" si="46"/>
        <v>0</v>
      </c>
      <c r="BE23">
        <f t="shared" si="47"/>
        <v>0</v>
      </c>
      <c r="BF23">
        <f t="shared" si="48"/>
        <v>0</v>
      </c>
      <c r="BG23">
        <f t="shared" si="49"/>
        <v>0</v>
      </c>
      <c r="BH23">
        <f t="shared" si="50"/>
        <v>5</v>
      </c>
    </row>
    <row r="24" spans="1:61">
      <c r="K24">
        <f>K22+K23</f>
        <v>32</v>
      </c>
      <c r="AY24" t="s">
        <v>12</v>
      </c>
    </row>
    <row r="25" spans="1:61" ht="15" customHeight="1">
      <c r="BH25">
        <f t="shared" ref="BH25" si="52">SUM(BH22:BH24)</f>
        <v>32</v>
      </c>
      <c r="BI25">
        <f t="shared" si="22"/>
        <v>32</v>
      </c>
    </row>
    <row r="26" spans="1:61" ht="15.95">
      <c r="A26" t="s">
        <v>0</v>
      </c>
      <c r="B26" t="s">
        <v>31</v>
      </c>
      <c r="C26" t="s">
        <v>25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O26" s="5"/>
      <c r="Q26" s="5"/>
      <c r="S26" s="5"/>
      <c r="T26" s="5"/>
      <c r="U26" s="5"/>
      <c r="V26" s="5"/>
      <c r="AX26" t="s">
        <v>26</v>
      </c>
      <c r="AY26" s="5" t="s">
        <v>31</v>
      </c>
      <c r="AZ26" t="s">
        <v>25</v>
      </c>
      <c r="BA26" t="s">
        <v>3</v>
      </c>
      <c r="BB26" t="s">
        <v>4</v>
      </c>
      <c r="BC26" t="s">
        <v>5</v>
      </c>
      <c r="BD26" t="s">
        <v>6</v>
      </c>
      <c r="BE26" t="s">
        <v>7</v>
      </c>
      <c r="BF26" t="s">
        <v>8</v>
      </c>
      <c r="BG26" t="s">
        <v>9</v>
      </c>
    </row>
    <row r="27" spans="1:61" ht="15.95">
      <c r="B27" t="s">
        <v>10</v>
      </c>
      <c r="C27">
        <v>14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f>SUM(C27:I27)</f>
        <v>16</v>
      </c>
      <c r="O27" s="5"/>
      <c r="P27" s="5"/>
      <c r="R27" s="5"/>
      <c r="S27" s="5"/>
      <c r="T27" s="5"/>
      <c r="U27" s="5"/>
      <c r="V27" s="5"/>
      <c r="W27" s="5"/>
      <c r="AY27" s="5" t="s">
        <v>10</v>
      </c>
      <c r="AZ27">
        <f>AVERAGE(C27,P27,AB27,AN27)</f>
        <v>14</v>
      </c>
      <c r="BA27">
        <f t="shared" ref="BA27:BA28" si="53">AVERAGE(D27,Q27,AC27,AO27)</f>
        <v>0</v>
      </c>
      <c r="BB27">
        <f t="shared" ref="BB27:BB28" si="54">AVERAGE(E27,R27,AD27,AP27)</f>
        <v>0</v>
      </c>
      <c r="BC27">
        <f t="shared" ref="BC27:BC28" si="55">AVERAGE(F27,S27,AE27,AQ27)</f>
        <v>0</v>
      </c>
      <c r="BD27">
        <f t="shared" ref="BD27:BD28" si="56">AVERAGE(G27,T27,AF27,AR27)</f>
        <v>1</v>
      </c>
      <c r="BE27">
        <f t="shared" ref="BE27:BE28" si="57">AVERAGE(H27,U27,AG27,AS27)</f>
        <v>0</v>
      </c>
      <c r="BF27">
        <f t="shared" ref="BF27:BF28" si="58">AVERAGE(I27,V27,AH27,AT27)</f>
        <v>1</v>
      </c>
      <c r="BG27">
        <f t="shared" ref="BG27:BG28" si="59">AVERAGE(J27,W27,AI27,AU27)</f>
        <v>0</v>
      </c>
      <c r="BH27">
        <f t="shared" ref="BH27:BH28" si="60">SUM(AZ27:BG27)</f>
        <v>16</v>
      </c>
    </row>
    <row r="28" spans="1:61" ht="15.95">
      <c r="B28" t="s">
        <v>11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>SUM(C28:I28)</f>
        <v>2</v>
      </c>
      <c r="O28" s="5"/>
      <c r="P28" s="5"/>
      <c r="Q28" s="5"/>
      <c r="R28" s="5"/>
      <c r="S28" s="5"/>
      <c r="T28" s="5"/>
      <c r="U28" s="5"/>
      <c r="V28" s="5"/>
      <c r="W28" s="5"/>
      <c r="AY28" s="5" t="s">
        <v>11</v>
      </c>
      <c r="AZ28">
        <f t="shared" ref="AZ28" si="61">AVERAGE(C28,P28,AB28,AN28)</f>
        <v>2</v>
      </c>
      <c r="BA28">
        <f t="shared" si="53"/>
        <v>0</v>
      </c>
      <c r="BB28">
        <f t="shared" si="54"/>
        <v>0</v>
      </c>
      <c r="BC28">
        <f t="shared" si="55"/>
        <v>0</v>
      </c>
      <c r="BD28">
        <f t="shared" si="56"/>
        <v>0</v>
      </c>
      <c r="BE28">
        <f t="shared" si="57"/>
        <v>0</v>
      </c>
      <c r="BF28">
        <f t="shared" si="58"/>
        <v>0</v>
      </c>
      <c r="BG28">
        <f t="shared" si="59"/>
        <v>0</v>
      </c>
      <c r="BH28">
        <f t="shared" si="60"/>
        <v>2</v>
      </c>
    </row>
    <row r="29" spans="1:61">
      <c r="K29">
        <f>K27+K28</f>
        <v>18</v>
      </c>
      <c r="AY29" t="s">
        <v>12</v>
      </c>
    </row>
    <row r="30" spans="1:61" ht="15" customHeight="1">
      <c r="BH30">
        <f t="shared" ref="BH30" si="62">SUM(BH27:BH29)</f>
        <v>18</v>
      </c>
      <c r="BI30">
        <f t="shared" si="22"/>
        <v>18</v>
      </c>
    </row>
    <row r="31" spans="1:61" ht="15.95">
      <c r="A31" t="s">
        <v>0</v>
      </c>
      <c r="B31" t="s">
        <v>32</v>
      </c>
      <c r="C31" t="s">
        <v>25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O31" s="5"/>
      <c r="Q31" s="5"/>
      <c r="S31" s="5"/>
      <c r="T31" s="5"/>
      <c r="U31" s="5"/>
      <c r="V31" s="5"/>
      <c r="AX31" t="s">
        <v>26</v>
      </c>
      <c r="AY31" s="5" t="s">
        <v>32</v>
      </c>
      <c r="AZ31" t="s">
        <v>25</v>
      </c>
      <c r="BA31" t="s">
        <v>3</v>
      </c>
      <c r="BB31" t="s">
        <v>4</v>
      </c>
      <c r="BC31" t="s">
        <v>5</v>
      </c>
      <c r="BD31" t="s">
        <v>6</v>
      </c>
      <c r="BE31" t="s">
        <v>7</v>
      </c>
      <c r="BF31" t="s">
        <v>8</v>
      </c>
      <c r="BG31" t="s">
        <v>9</v>
      </c>
    </row>
    <row r="32" spans="1:61" ht="15.95">
      <c r="B32" t="s">
        <v>10</v>
      </c>
      <c r="C32">
        <v>5</v>
      </c>
      <c r="D32">
        <v>0</v>
      </c>
      <c r="E32">
        <v>0</v>
      </c>
      <c r="F32">
        <v>2</v>
      </c>
      <c r="G32">
        <v>0</v>
      </c>
      <c r="H32">
        <v>1</v>
      </c>
      <c r="I32">
        <v>0</v>
      </c>
      <c r="J32">
        <v>0</v>
      </c>
      <c r="K32">
        <f>SUM(C32:J32)</f>
        <v>8</v>
      </c>
      <c r="O32" s="5"/>
      <c r="P32" s="5"/>
      <c r="Q32" s="5"/>
      <c r="R32" s="5"/>
      <c r="S32" s="5"/>
      <c r="T32" s="5"/>
      <c r="U32" s="5"/>
      <c r="V32" s="5"/>
      <c r="W32" s="5"/>
      <c r="AY32" s="5" t="s">
        <v>10</v>
      </c>
      <c r="AZ32">
        <f>AVERAGE(C32,P32,AB32,AN32)</f>
        <v>5</v>
      </c>
      <c r="BA32">
        <f t="shared" ref="BA32:BA33" si="63">AVERAGE(D32,Q32,AC32,AO32)</f>
        <v>0</v>
      </c>
      <c r="BB32">
        <f t="shared" ref="BB32:BB33" si="64">AVERAGE(E32,R32,AD32,AP32)</f>
        <v>0</v>
      </c>
      <c r="BC32">
        <f t="shared" ref="BC32:BC33" si="65">AVERAGE(F32,S32,AE32,AQ32)</f>
        <v>2</v>
      </c>
      <c r="BD32">
        <f t="shared" ref="BD32:BD33" si="66">AVERAGE(G32,T32,AF32,AR32)</f>
        <v>0</v>
      </c>
      <c r="BE32">
        <f t="shared" ref="BE32:BE33" si="67">AVERAGE(H32,U32,AG32,AS32)</f>
        <v>1</v>
      </c>
      <c r="BF32">
        <f t="shared" ref="BF32:BF33" si="68">AVERAGE(I32,V32,AH32,AT32)</f>
        <v>0</v>
      </c>
      <c r="BG32">
        <f t="shared" ref="BG32:BG33" si="69">AVERAGE(J32,W32,AI32,AU32)</f>
        <v>0</v>
      </c>
      <c r="BH32">
        <f t="shared" ref="BH32:BH33" si="70">SUM(AZ32:BG32)</f>
        <v>8</v>
      </c>
    </row>
    <row r="33" spans="1:61" ht="15.95">
      <c r="B33" t="s">
        <v>11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>SUM(C33:J33)</f>
        <v>5</v>
      </c>
      <c r="O33" s="5"/>
      <c r="P33" s="5"/>
      <c r="Q33" s="5"/>
      <c r="R33" s="5"/>
      <c r="S33" s="5"/>
      <c r="T33" s="5"/>
      <c r="U33" s="5"/>
      <c r="V33" s="5"/>
      <c r="W33" s="5"/>
      <c r="AY33" s="5" t="s">
        <v>11</v>
      </c>
      <c r="AZ33">
        <f t="shared" ref="AZ33" si="71">AVERAGE(C33,P33,AB33,AN33)</f>
        <v>5</v>
      </c>
      <c r="BA33">
        <f t="shared" si="63"/>
        <v>0</v>
      </c>
      <c r="BB33">
        <f t="shared" si="64"/>
        <v>0</v>
      </c>
      <c r="BC33">
        <f t="shared" si="65"/>
        <v>0</v>
      </c>
      <c r="BD33">
        <f t="shared" si="66"/>
        <v>0</v>
      </c>
      <c r="BE33">
        <f t="shared" si="67"/>
        <v>0</v>
      </c>
      <c r="BF33">
        <f t="shared" si="68"/>
        <v>0</v>
      </c>
      <c r="BG33">
        <f t="shared" si="69"/>
        <v>0</v>
      </c>
      <c r="BH33">
        <f t="shared" si="70"/>
        <v>5</v>
      </c>
    </row>
    <row r="34" spans="1:61">
      <c r="K34">
        <f>K32+K33</f>
        <v>13</v>
      </c>
      <c r="AY34" t="s">
        <v>12</v>
      </c>
    </row>
    <row r="35" spans="1:61" ht="15" customHeight="1">
      <c r="BH35">
        <f t="shared" ref="BH35" si="72">SUM(BH32:BH34)</f>
        <v>13</v>
      </c>
      <c r="BI35">
        <f t="shared" si="22"/>
        <v>13</v>
      </c>
    </row>
    <row r="36" spans="1:61" ht="15.95">
      <c r="A36" t="s">
        <v>0</v>
      </c>
      <c r="B36" t="s">
        <v>33</v>
      </c>
      <c r="C36" t="s">
        <v>25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O36" s="5"/>
      <c r="Q36" s="5"/>
      <c r="S36" s="5"/>
      <c r="T36" s="5"/>
      <c r="U36" s="5"/>
      <c r="V36" s="5"/>
      <c r="AX36" t="s">
        <v>26</v>
      </c>
      <c r="AY36" s="5" t="s">
        <v>33</v>
      </c>
      <c r="AZ36" t="s">
        <v>25</v>
      </c>
      <c r="BA36" t="s">
        <v>3</v>
      </c>
      <c r="BB36" t="s">
        <v>4</v>
      </c>
      <c r="BC36" t="s">
        <v>5</v>
      </c>
      <c r="BD36" t="s">
        <v>6</v>
      </c>
      <c r="BE36" t="s">
        <v>7</v>
      </c>
      <c r="BF36" t="s">
        <v>8</v>
      </c>
      <c r="BG36" t="s">
        <v>9</v>
      </c>
    </row>
    <row r="37" spans="1:61" ht="15.95">
      <c r="B37" t="s">
        <v>10</v>
      </c>
      <c r="C37">
        <v>12</v>
      </c>
      <c r="D37">
        <v>2</v>
      </c>
      <c r="E37">
        <v>0</v>
      </c>
      <c r="F37">
        <v>2</v>
      </c>
      <c r="G37">
        <v>0</v>
      </c>
      <c r="H37">
        <v>0</v>
      </c>
      <c r="I37">
        <v>1</v>
      </c>
      <c r="J37">
        <v>0</v>
      </c>
      <c r="K37">
        <f>SUM(C37:J37)</f>
        <v>17</v>
      </c>
      <c r="O37" s="5"/>
      <c r="P37" s="5"/>
      <c r="Q37" s="5"/>
      <c r="R37" s="5"/>
      <c r="S37" s="5"/>
      <c r="T37" s="5"/>
      <c r="U37" s="5"/>
      <c r="V37" s="5"/>
      <c r="W37" s="5"/>
      <c r="AY37" s="5" t="s">
        <v>10</v>
      </c>
      <c r="AZ37">
        <f>AVERAGE(C37,P37,AB37,AN37)</f>
        <v>12</v>
      </c>
      <c r="BA37">
        <f t="shared" ref="BA37:BA38" si="73">AVERAGE(D37,Q37,AC37,AO37)</f>
        <v>2</v>
      </c>
      <c r="BB37">
        <f t="shared" ref="BB37:BB38" si="74">AVERAGE(E37,R37,AD37,AP37)</f>
        <v>0</v>
      </c>
      <c r="BC37">
        <f t="shared" ref="BC37:BC38" si="75">AVERAGE(F37,S37,AE37,AQ37)</f>
        <v>2</v>
      </c>
      <c r="BD37">
        <f t="shared" ref="BD37:BD38" si="76">AVERAGE(G37,T37,AF37,AR37)</f>
        <v>0</v>
      </c>
      <c r="BE37">
        <f t="shared" ref="BE37:BE38" si="77">AVERAGE(H37,U37,AG37,AS37)</f>
        <v>0</v>
      </c>
      <c r="BF37">
        <f t="shared" ref="BF37:BF38" si="78">AVERAGE(I37,V37,AH37,AT37)</f>
        <v>1</v>
      </c>
      <c r="BG37">
        <f t="shared" ref="BG37:BG38" si="79">AVERAGE(J37,W37,AI37,AU37)</f>
        <v>0</v>
      </c>
      <c r="BH37">
        <f t="shared" ref="BH37:BH38" si="80">SUM(AZ37:BG37)</f>
        <v>17</v>
      </c>
    </row>
    <row r="38" spans="1:61" ht="15.95">
      <c r="B38" t="s">
        <v>11</v>
      </c>
      <c r="C38">
        <v>4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f>SUM(C38:J38)</f>
        <v>6</v>
      </c>
      <c r="O38" s="5"/>
      <c r="P38" s="5"/>
      <c r="Q38" s="5"/>
      <c r="R38" s="5"/>
      <c r="S38" s="5"/>
      <c r="T38" s="5"/>
      <c r="U38" s="5"/>
      <c r="V38" s="5"/>
      <c r="W38" s="5"/>
      <c r="AY38" s="5" t="s">
        <v>11</v>
      </c>
      <c r="AZ38">
        <f t="shared" ref="AZ38" si="81">AVERAGE(C38,P38,AB38,AN38)</f>
        <v>4</v>
      </c>
      <c r="BA38">
        <f t="shared" si="73"/>
        <v>2</v>
      </c>
      <c r="BB38">
        <f t="shared" si="74"/>
        <v>0</v>
      </c>
      <c r="BC38">
        <f t="shared" si="75"/>
        <v>0</v>
      </c>
      <c r="BD38">
        <f t="shared" si="76"/>
        <v>0</v>
      </c>
      <c r="BE38">
        <f t="shared" si="77"/>
        <v>0</v>
      </c>
      <c r="BF38">
        <f t="shared" si="78"/>
        <v>0</v>
      </c>
      <c r="BG38">
        <f t="shared" si="79"/>
        <v>0</v>
      </c>
      <c r="BH38">
        <f t="shared" si="80"/>
        <v>6</v>
      </c>
    </row>
    <row r="39" spans="1:61">
      <c r="K39">
        <f>K37+K38</f>
        <v>23</v>
      </c>
      <c r="AY39" t="s">
        <v>12</v>
      </c>
    </row>
    <row r="40" spans="1:61" ht="15" customHeight="1">
      <c r="BH40">
        <f t="shared" ref="BH40" si="82">SUM(BH37:BH39)</f>
        <v>23</v>
      </c>
      <c r="BI40">
        <f t="shared" si="22"/>
        <v>23</v>
      </c>
    </row>
    <row r="41" spans="1:61" ht="15.95">
      <c r="A41" t="s">
        <v>0</v>
      </c>
      <c r="B41" t="s">
        <v>34</v>
      </c>
      <c r="C41" t="s">
        <v>25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O41" s="5"/>
      <c r="Q41" s="5"/>
      <c r="S41" s="5"/>
      <c r="T41" s="5"/>
      <c r="U41" s="5"/>
      <c r="V41" s="5"/>
      <c r="AX41" t="s">
        <v>26</v>
      </c>
      <c r="AY41" s="5" t="s">
        <v>34</v>
      </c>
      <c r="AZ41" t="s">
        <v>25</v>
      </c>
      <c r="BA41" t="s">
        <v>3</v>
      </c>
      <c r="BB41" t="s">
        <v>4</v>
      </c>
      <c r="BC41" t="s">
        <v>5</v>
      </c>
      <c r="BD41" t="s">
        <v>6</v>
      </c>
      <c r="BE41" t="s">
        <v>7</v>
      </c>
      <c r="BF41" t="s">
        <v>8</v>
      </c>
      <c r="BG41" t="s">
        <v>9</v>
      </c>
    </row>
    <row r="42" spans="1:61" ht="15.95">
      <c r="B42" t="s">
        <v>10</v>
      </c>
      <c r="C42">
        <v>16</v>
      </c>
      <c r="D42">
        <v>0</v>
      </c>
      <c r="E42">
        <v>0</v>
      </c>
      <c r="F42">
        <v>2</v>
      </c>
      <c r="G42">
        <v>1</v>
      </c>
      <c r="H42">
        <v>0</v>
      </c>
      <c r="I42">
        <v>0</v>
      </c>
      <c r="J42">
        <v>0</v>
      </c>
      <c r="K42">
        <f>SUM(C42:J42)</f>
        <v>19</v>
      </c>
      <c r="O42" s="5"/>
      <c r="P42" s="5"/>
      <c r="Q42" s="5"/>
      <c r="R42" s="5"/>
      <c r="S42" s="5"/>
      <c r="T42" s="5"/>
      <c r="U42" s="5"/>
      <c r="V42" s="5"/>
      <c r="W42" s="5"/>
      <c r="AY42" s="5" t="s">
        <v>10</v>
      </c>
      <c r="AZ42">
        <f>AVERAGE(C42,P42,AB42,AN42)</f>
        <v>16</v>
      </c>
      <c r="BA42">
        <f t="shared" ref="BA42:BA43" si="83">AVERAGE(D42,Q42,AC42,AO42)</f>
        <v>0</v>
      </c>
      <c r="BB42">
        <f t="shared" ref="BB42:BB43" si="84">AVERAGE(E42,R42,AD42,AP42)</f>
        <v>0</v>
      </c>
      <c r="BC42">
        <f t="shared" ref="BC42:BC43" si="85">AVERAGE(F42,S42,AE42,AQ42)</f>
        <v>2</v>
      </c>
      <c r="BD42">
        <f t="shared" ref="BD42:BD43" si="86">AVERAGE(G42,T42,AF42,AR42)</f>
        <v>1</v>
      </c>
      <c r="BE42">
        <f t="shared" ref="BE42:BE43" si="87">AVERAGE(H42,U42,AG42,AS42)</f>
        <v>0</v>
      </c>
      <c r="BF42">
        <f t="shared" ref="BF42:BF43" si="88">AVERAGE(I42,V42,AH42,AT42)</f>
        <v>0</v>
      </c>
      <c r="BG42">
        <f t="shared" ref="BG42:BG43" si="89">AVERAGE(J42,W42,AI42,AU42)</f>
        <v>0</v>
      </c>
      <c r="BH42">
        <f t="shared" ref="BH42:BH43" si="90">SUM(AZ42:BG42)</f>
        <v>19</v>
      </c>
    </row>
    <row r="43" spans="1:61" ht="15.95">
      <c r="B43" t="s">
        <v>11</v>
      </c>
      <c r="C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f>SUM(C43:J43)</f>
        <v>3</v>
      </c>
      <c r="O43" s="5"/>
      <c r="P43" s="5"/>
      <c r="Q43" s="5"/>
      <c r="R43" s="5"/>
      <c r="S43" s="5"/>
      <c r="T43" s="5"/>
      <c r="U43" s="5"/>
      <c r="V43" s="5"/>
      <c r="W43" s="5"/>
      <c r="AY43" s="5" t="s">
        <v>11</v>
      </c>
      <c r="AZ43">
        <f t="shared" ref="AZ43" si="91">AVERAGE(C43,P43,AB43,AN43)</f>
        <v>2</v>
      </c>
      <c r="BA43">
        <f t="shared" si="83"/>
        <v>1</v>
      </c>
      <c r="BB43">
        <f t="shared" si="84"/>
        <v>0</v>
      </c>
      <c r="BC43">
        <f t="shared" si="85"/>
        <v>0</v>
      </c>
      <c r="BD43">
        <f t="shared" si="86"/>
        <v>0</v>
      </c>
      <c r="BE43">
        <f t="shared" si="87"/>
        <v>0</v>
      </c>
      <c r="BF43">
        <f t="shared" si="88"/>
        <v>0</v>
      </c>
      <c r="BG43">
        <f t="shared" si="89"/>
        <v>0</v>
      </c>
      <c r="BH43">
        <f t="shared" si="90"/>
        <v>3</v>
      </c>
    </row>
    <row r="44" spans="1:61">
      <c r="K44">
        <f>K42+K43</f>
        <v>22</v>
      </c>
      <c r="AY44" t="s">
        <v>12</v>
      </c>
    </row>
    <row r="45" spans="1:61" ht="15" customHeight="1">
      <c r="BH45">
        <f t="shared" ref="BH45" si="92">SUM(BH42:BH44)</f>
        <v>22</v>
      </c>
      <c r="BI45">
        <f t="shared" si="22"/>
        <v>22</v>
      </c>
    </row>
    <row r="46" spans="1:61" ht="15.95">
      <c r="A46" t="s">
        <v>0</v>
      </c>
      <c r="B46" t="s">
        <v>35</v>
      </c>
      <c r="C46" t="s">
        <v>25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O46" s="5"/>
      <c r="Q46" s="5"/>
      <c r="S46" s="5"/>
      <c r="T46" s="5"/>
      <c r="U46" s="5"/>
      <c r="V46" s="5"/>
      <c r="AX46" t="s">
        <v>26</v>
      </c>
      <c r="AY46" s="5" t="s">
        <v>35</v>
      </c>
      <c r="AZ46" t="s">
        <v>25</v>
      </c>
      <c r="BA46" t="s">
        <v>3</v>
      </c>
      <c r="BB46" t="s">
        <v>4</v>
      </c>
      <c r="BC46" t="s">
        <v>5</v>
      </c>
      <c r="BD46" t="s">
        <v>6</v>
      </c>
      <c r="BE46" t="s">
        <v>7</v>
      </c>
      <c r="BF46" t="s">
        <v>8</v>
      </c>
      <c r="BG46" t="s">
        <v>9</v>
      </c>
    </row>
    <row r="47" spans="1:61" ht="15.95">
      <c r="B47" t="s">
        <v>10</v>
      </c>
      <c r="C47">
        <v>19</v>
      </c>
      <c r="D47">
        <v>2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f>SUM(C47:J47)</f>
        <v>22</v>
      </c>
      <c r="O47" s="5"/>
      <c r="P47" s="5"/>
      <c r="Q47" s="5"/>
      <c r="R47" s="5"/>
      <c r="S47" s="5"/>
      <c r="T47" s="5"/>
      <c r="U47" s="5"/>
      <c r="V47" s="5"/>
      <c r="W47" s="5"/>
      <c r="AY47" s="5" t="s">
        <v>10</v>
      </c>
      <c r="AZ47">
        <f>AVERAGE(C47,P47,AB47,AN47)</f>
        <v>19</v>
      </c>
      <c r="BA47">
        <f t="shared" ref="BA47:BA48" si="93">AVERAGE(D47,Q47,AC47,AO47)</f>
        <v>2</v>
      </c>
      <c r="BB47">
        <f t="shared" ref="BB47:BB48" si="94">AVERAGE(E47,R47,AD47,AP47)</f>
        <v>0</v>
      </c>
      <c r="BC47">
        <f t="shared" ref="BC47:BC48" si="95">AVERAGE(F47,S47,AE47,AQ47)</f>
        <v>0</v>
      </c>
      <c r="BD47">
        <f t="shared" ref="BD47:BD48" si="96">AVERAGE(G47,T47,AF47,AR47)</f>
        <v>1</v>
      </c>
      <c r="BE47">
        <f t="shared" ref="BE47:BE48" si="97">AVERAGE(H47,U47,AG47,AS47)</f>
        <v>0</v>
      </c>
      <c r="BF47">
        <f t="shared" ref="BF47:BF48" si="98">AVERAGE(I47,V47,AH47,AT47)</f>
        <v>0</v>
      </c>
      <c r="BG47">
        <f t="shared" ref="BG47:BG48" si="99">AVERAGE(J47,W47,AI47,AU47)</f>
        <v>0</v>
      </c>
      <c r="BH47">
        <f t="shared" ref="BH47:BH48" si="100">SUM(AZ47:BG47)</f>
        <v>22</v>
      </c>
    </row>
    <row r="48" spans="1:61" ht="15.95">
      <c r="B48" t="s">
        <v>11</v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>SUM(C48:J48)</f>
        <v>3</v>
      </c>
      <c r="O48" s="5"/>
      <c r="P48" s="5"/>
      <c r="Q48" s="5"/>
      <c r="R48" s="5"/>
      <c r="S48" s="5"/>
      <c r="T48" s="5"/>
      <c r="U48" s="5"/>
      <c r="V48" s="5"/>
      <c r="W48" s="5"/>
      <c r="AY48" s="5" t="s">
        <v>11</v>
      </c>
      <c r="AZ48">
        <f t="shared" ref="AZ48" si="101">AVERAGE(C48,P48,AB48,AN48)</f>
        <v>2</v>
      </c>
      <c r="BA48">
        <f t="shared" si="93"/>
        <v>1</v>
      </c>
      <c r="BB48">
        <f t="shared" si="94"/>
        <v>0</v>
      </c>
      <c r="BC48">
        <f t="shared" si="95"/>
        <v>0</v>
      </c>
      <c r="BD48">
        <f t="shared" si="96"/>
        <v>0</v>
      </c>
      <c r="BE48">
        <f t="shared" si="97"/>
        <v>0</v>
      </c>
      <c r="BF48">
        <f t="shared" si="98"/>
        <v>0</v>
      </c>
      <c r="BG48">
        <f t="shared" si="99"/>
        <v>0</v>
      </c>
      <c r="BH48">
        <f t="shared" si="100"/>
        <v>3</v>
      </c>
    </row>
    <row r="49" spans="1:61">
      <c r="K49">
        <f>K47+K48</f>
        <v>25</v>
      </c>
      <c r="AY49" t="s">
        <v>12</v>
      </c>
    </row>
    <row r="50" spans="1:61" ht="15" customHeight="1">
      <c r="BH50">
        <f t="shared" ref="BH50" si="102">SUM(BH47:BH49)</f>
        <v>25</v>
      </c>
      <c r="BI50">
        <f t="shared" si="22"/>
        <v>25</v>
      </c>
    </row>
    <row r="51" spans="1:61" ht="15.95">
      <c r="A51" t="s">
        <v>0</v>
      </c>
      <c r="B51" t="s">
        <v>36</v>
      </c>
      <c r="C51" t="s">
        <v>25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O51" s="5"/>
      <c r="Q51" s="5"/>
      <c r="S51" s="5"/>
      <c r="T51" s="5"/>
      <c r="U51" s="5"/>
      <c r="V51" s="5"/>
      <c r="AX51" t="s">
        <v>26</v>
      </c>
      <c r="AY51" s="5" t="s">
        <v>36</v>
      </c>
      <c r="AZ51" t="s">
        <v>25</v>
      </c>
      <c r="BA51" t="s">
        <v>3</v>
      </c>
      <c r="BB51" t="s">
        <v>4</v>
      </c>
      <c r="BC51" t="s">
        <v>5</v>
      </c>
      <c r="BD51" t="s">
        <v>6</v>
      </c>
      <c r="BE51" t="s">
        <v>7</v>
      </c>
      <c r="BF51" t="s">
        <v>8</v>
      </c>
      <c r="BG51" t="s">
        <v>9</v>
      </c>
    </row>
    <row r="52" spans="1:61" ht="15.95">
      <c r="B52" t="s">
        <v>10</v>
      </c>
      <c r="C52">
        <v>20</v>
      </c>
      <c r="D52">
        <v>4</v>
      </c>
      <c r="E52">
        <v>0</v>
      </c>
      <c r="F52">
        <v>0</v>
      </c>
      <c r="G52">
        <v>0</v>
      </c>
      <c r="H52">
        <v>2</v>
      </c>
      <c r="I52">
        <v>1</v>
      </c>
      <c r="J52">
        <v>0</v>
      </c>
      <c r="K52">
        <f>SUM(C52:J52)</f>
        <v>27</v>
      </c>
      <c r="O52" s="5"/>
      <c r="P52" s="5"/>
      <c r="Q52" s="5"/>
      <c r="R52" s="5"/>
      <c r="S52" s="5"/>
      <c r="T52" s="5"/>
      <c r="U52" s="5"/>
      <c r="V52" s="5"/>
      <c r="W52" s="5"/>
      <c r="AY52" s="5" t="s">
        <v>10</v>
      </c>
      <c r="AZ52">
        <f>AVERAGE(C52,P52,AB52,AN52)</f>
        <v>20</v>
      </c>
      <c r="BA52">
        <f t="shared" ref="BA52:BA53" si="103">AVERAGE(D52,Q52,AC52,AO52)</f>
        <v>4</v>
      </c>
      <c r="BB52">
        <f t="shared" ref="BB52:BB53" si="104">AVERAGE(E52,R52,AD52,AP52)</f>
        <v>0</v>
      </c>
      <c r="BC52">
        <f t="shared" ref="BC52:BC53" si="105">AVERAGE(F52,S52,AE52,AQ52)</f>
        <v>0</v>
      </c>
      <c r="BD52">
        <f t="shared" ref="BD52:BD53" si="106">AVERAGE(G52,T52,AF52,AR52)</f>
        <v>0</v>
      </c>
      <c r="BE52">
        <f t="shared" ref="BE52:BE53" si="107">AVERAGE(H52,U52,AG52,AS52)</f>
        <v>2</v>
      </c>
      <c r="BF52">
        <f t="shared" ref="BF52:BF53" si="108">AVERAGE(I52,V52,AH52,AT52)</f>
        <v>1</v>
      </c>
      <c r="BG52">
        <f t="shared" ref="BG52:BG53" si="109">AVERAGE(J52,W52,AI52,AU52)</f>
        <v>0</v>
      </c>
      <c r="BH52">
        <f t="shared" ref="BH52:BH53" si="110">SUM(AZ52:BG52)</f>
        <v>27</v>
      </c>
    </row>
    <row r="53" spans="1:61" ht="15.95">
      <c r="B53" t="s">
        <v>11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>SUM(C53:J53)</f>
        <v>2</v>
      </c>
      <c r="O53" s="5"/>
      <c r="P53" s="5"/>
      <c r="Q53" s="5"/>
      <c r="R53" s="5"/>
      <c r="S53" s="5"/>
      <c r="T53" s="5"/>
      <c r="U53" s="5"/>
      <c r="V53" s="5"/>
      <c r="W53" s="5"/>
      <c r="AY53" s="5" t="s">
        <v>11</v>
      </c>
      <c r="AZ53">
        <f t="shared" ref="AZ53" si="111">AVERAGE(C53,P53,AB53,AN53)</f>
        <v>2</v>
      </c>
      <c r="BA53">
        <f t="shared" si="103"/>
        <v>0</v>
      </c>
      <c r="BB53">
        <f t="shared" si="104"/>
        <v>0</v>
      </c>
      <c r="BC53">
        <f t="shared" si="105"/>
        <v>0</v>
      </c>
      <c r="BD53">
        <f t="shared" si="106"/>
        <v>0</v>
      </c>
      <c r="BE53">
        <f t="shared" si="107"/>
        <v>0</v>
      </c>
      <c r="BF53">
        <f t="shared" si="108"/>
        <v>0</v>
      </c>
      <c r="BG53">
        <f t="shared" si="109"/>
        <v>0</v>
      </c>
      <c r="BH53">
        <f t="shared" si="110"/>
        <v>2</v>
      </c>
    </row>
    <row r="54" spans="1:61">
      <c r="K54">
        <f>K52+K53</f>
        <v>29</v>
      </c>
      <c r="AY54" t="s">
        <v>12</v>
      </c>
    </row>
    <row r="55" spans="1:61" ht="15" customHeight="1">
      <c r="BH55">
        <f t="shared" ref="BH55" si="112">SUM(BH52:BH54)</f>
        <v>29</v>
      </c>
      <c r="BI55">
        <f t="shared" si="22"/>
        <v>29</v>
      </c>
    </row>
    <row r="56" spans="1:61" ht="15.95">
      <c r="A56" t="s">
        <v>0</v>
      </c>
      <c r="B56" t="s">
        <v>37</v>
      </c>
      <c r="C56" t="s">
        <v>25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O56" s="5"/>
      <c r="Q56" s="5"/>
      <c r="S56" s="5"/>
      <c r="T56" s="5"/>
      <c r="U56" s="5"/>
      <c r="V56" s="5"/>
      <c r="AX56" t="s">
        <v>26</v>
      </c>
      <c r="AY56" s="5" t="s">
        <v>37</v>
      </c>
      <c r="AZ56" t="s">
        <v>25</v>
      </c>
      <c r="BA56" t="s">
        <v>3</v>
      </c>
      <c r="BB56" t="s">
        <v>4</v>
      </c>
      <c r="BC56" t="s">
        <v>5</v>
      </c>
      <c r="BD56" t="s">
        <v>6</v>
      </c>
      <c r="BE56" t="s">
        <v>7</v>
      </c>
      <c r="BF56" t="s">
        <v>8</v>
      </c>
      <c r="BG56" t="s">
        <v>9</v>
      </c>
    </row>
    <row r="57" spans="1:61" ht="15.95">
      <c r="B57" t="s">
        <v>10</v>
      </c>
      <c r="C57">
        <v>27</v>
      </c>
      <c r="D57">
        <v>2</v>
      </c>
      <c r="E57">
        <v>4</v>
      </c>
      <c r="F57">
        <v>0</v>
      </c>
      <c r="G57">
        <v>3</v>
      </c>
      <c r="H57">
        <v>1</v>
      </c>
      <c r="I57">
        <v>0</v>
      </c>
      <c r="J57">
        <v>0</v>
      </c>
      <c r="K57">
        <f>SUM(C57:J57)</f>
        <v>37</v>
      </c>
      <c r="O57" s="5"/>
      <c r="P57" s="5"/>
      <c r="Q57" s="5"/>
      <c r="R57" s="5"/>
      <c r="S57" s="5"/>
      <c r="T57" s="5"/>
      <c r="U57" s="5"/>
      <c r="V57" s="5"/>
      <c r="W57" s="5"/>
      <c r="AY57" s="5" t="s">
        <v>10</v>
      </c>
      <c r="AZ57">
        <f>AVERAGE(C57,P57,AB57,AN57)</f>
        <v>27</v>
      </c>
      <c r="BA57">
        <f t="shared" ref="BA57:BA58" si="113">AVERAGE(D57,Q57,AC57,AO57)</f>
        <v>2</v>
      </c>
      <c r="BB57">
        <f t="shared" ref="BB57:BB58" si="114">AVERAGE(E57,R57,AD57,AP57)</f>
        <v>4</v>
      </c>
      <c r="BC57">
        <f t="shared" ref="BC57:BC58" si="115">AVERAGE(F57,S57,AE57,AQ57)</f>
        <v>0</v>
      </c>
      <c r="BD57">
        <f t="shared" ref="BD57:BD58" si="116">AVERAGE(G57,T57,AF57,AR57)</f>
        <v>3</v>
      </c>
      <c r="BE57">
        <f t="shared" ref="BE57:BE58" si="117">AVERAGE(H57,U57,AG57,AS57)</f>
        <v>1</v>
      </c>
      <c r="BF57">
        <f t="shared" ref="BF57:BF58" si="118">AVERAGE(I57,V57,AH57,AT57)</f>
        <v>0</v>
      </c>
      <c r="BG57">
        <f t="shared" ref="BG57:BG58" si="119">AVERAGE(J57,W57,AI57,AU57)</f>
        <v>0</v>
      </c>
      <c r="BH57">
        <f t="shared" ref="BH57:BH58" si="120">SUM(AZ57:BG57)</f>
        <v>37</v>
      </c>
    </row>
    <row r="58" spans="1:61" ht="15.95">
      <c r="B58" t="s">
        <v>11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f>SUM(C58:J58)</f>
        <v>1</v>
      </c>
      <c r="O58" s="5"/>
      <c r="P58" s="5"/>
      <c r="Q58" s="5"/>
      <c r="R58" s="5"/>
      <c r="S58" s="5"/>
      <c r="T58" s="5"/>
      <c r="U58" s="5"/>
      <c r="V58" s="5"/>
      <c r="W58" s="5"/>
      <c r="AY58" s="5" t="s">
        <v>11</v>
      </c>
      <c r="AZ58">
        <f t="shared" ref="AZ58" si="121">AVERAGE(C58,P58,AB58,AN58)</f>
        <v>0</v>
      </c>
      <c r="BA58">
        <f t="shared" si="113"/>
        <v>1</v>
      </c>
      <c r="BB58">
        <f t="shared" si="114"/>
        <v>0</v>
      </c>
      <c r="BC58">
        <f t="shared" si="115"/>
        <v>0</v>
      </c>
      <c r="BD58">
        <f t="shared" si="116"/>
        <v>0</v>
      </c>
      <c r="BE58">
        <f t="shared" si="117"/>
        <v>0</v>
      </c>
      <c r="BF58">
        <f t="shared" si="118"/>
        <v>0</v>
      </c>
      <c r="BG58">
        <f t="shared" si="119"/>
        <v>0</v>
      </c>
      <c r="BH58">
        <f t="shared" si="120"/>
        <v>1</v>
      </c>
    </row>
    <row r="59" spans="1:61">
      <c r="K59">
        <f>K57+K58</f>
        <v>38</v>
      </c>
      <c r="AY59" t="s">
        <v>12</v>
      </c>
    </row>
    <row r="60" spans="1:61" ht="15.95">
      <c r="O60" s="5"/>
      <c r="P60" s="5"/>
      <c r="Q60" s="5"/>
      <c r="R60" s="5"/>
      <c r="S60" s="5"/>
      <c r="T60" s="5"/>
      <c r="U60" s="5"/>
      <c r="V60" s="5"/>
      <c r="W60" s="5"/>
      <c r="BH60">
        <f t="shared" ref="BH60" si="122">SUM(BH57:BH59)</f>
        <v>38</v>
      </c>
      <c r="BI60">
        <f t="shared" si="22"/>
        <v>38</v>
      </c>
    </row>
    <row r="61" spans="1:61" ht="15.95">
      <c r="A61" t="s">
        <v>0</v>
      </c>
      <c r="B61" t="s">
        <v>38</v>
      </c>
      <c r="C61" t="s">
        <v>25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39</v>
      </c>
      <c r="AX61" t="s">
        <v>26</v>
      </c>
      <c r="AY61" s="5" t="s">
        <v>38</v>
      </c>
      <c r="AZ61" t="s">
        <v>25</v>
      </c>
      <c r="BA61" t="s">
        <v>3</v>
      </c>
      <c r="BB61" t="s">
        <v>4</v>
      </c>
      <c r="BC61" t="s">
        <v>5</v>
      </c>
      <c r="BD61" t="s">
        <v>6</v>
      </c>
      <c r="BE61" t="s">
        <v>7</v>
      </c>
      <c r="BF61" t="s">
        <v>8</v>
      </c>
      <c r="BG61" t="s">
        <v>9</v>
      </c>
    </row>
    <row r="62" spans="1:61" ht="15.95">
      <c r="B62" t="s">
        <v>10</v>
      </c>
      <c r="C62">
        <v>20</v>
      </c>
      <c r="D62">
        <v>2</v>
      </c>
      <c r="E62">
        <v>0</v>
      </c>
      <c r="F62">
        <v>3</v>
      </c>
      <c r="G62">
        <v>0</v>
      </c>
      <c r="H62">
        <v>1</v>
      </c>
      <c r="I62">
        <v>0</v>
      </c>
      <c r="J62">
        <v>103</v>
      </c>
      <c r="K62">
        <f>SUM(C62:I62)</f>
        <v>26</v>
      </c>
      <c r="L62">
        <f>(K62+J62)/2</f>
        <v>64.5</v>
      </c>
      <c r="AY62" s="5" t="s">
        <v>10</v>
      </c>
      <c r="AZ62">
        <f>AVERAGE(C62,P62,AB62,AN62)</f>
        <v>20</v>
      </c>
      <c r="BA62">
        <f t="shared" ref="BA62:BA63" si="123">AVERAGE(D62,Q62,AC62,AO62)</f>
        <v>2</v>
      </c>
      <c r="BB62">
        <f t="shared" ref="BB62:BB63" si="124">AVERAGE(E62,R62,AD62,AP62)</f>
        <v>0</v>
      </c>
      <c r="BC62">
        <f t="shared" ref="BC62:BC63" si="125">AVERAGE(F62,S62,AE62,AQ62)</f>
        <v>3</v>
      </c>
      <c r="BD62">
        <f t="shared" ref="BD62:BD63" si="126">AVERAGE(G62,T62,AF62,AR62)</f>
        <v>0</v>
      </c>
      <c r="BE62">
        <f t="shared" ref="BE62:BE63" si="127">AVERAGE(H62,U62,AG62,AS62)</f>
        <v>1</v>
      </c>
      <c r="BF62">
        <f t="shared" ref="BF62:BF63" si="128">AVERAGE(I62,V62,AH62,AT62)</f>
        <v>0</v>
      </c>
      <c r="BH62">
        <f>SUM(AZ62:BG62)</f>
        <v>26</v>
      </c>
      <c r="BI62">
        <v>64.5</v>
      </c>
    </row>
    <row r="63" spans="1:61" ht="15.95">
      <c r="B63" t="s">
        <v>11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42</v>
      </c>
      <c r="K63">
        <f>SUM(C63:I63)</f>
        <v>2</v>
      </c>
      <c r="L63">
        <f>(K63+J63)/2</f>
        <v>22</v>
      </c>
      <c r="AY63" s="5" t="s">
        <v>11</v>
      </c>
      <c r="AZ63">
        <f t="shared" ref="AZ63" si="129">AVERAGE(C63,P63,AB63,AN63)</f>
        <v>2</v>
      </c>
      <c r="BA63">
        <f t="shared" si="123"/>
        <v>0</v>
      </c>
      <c r="BB63">
        <f t="shared" si="124"/>
        <v>0</v>
      </c>
      <c r="BC63">
        <f t="shared" si="125"/>
        <v>0</v>
      </c>
      <c r="BD63">
        <f t="shared" si="126"/>
        <v>0</v>
      </c>
      <c r="BE63">
        <f t="shared" si="127"/>
        <v>0</v>
      </c>
      <c r="BF63">
        <f t="shared" si="128"/>
        <v>0</v>
      </c>
      <c r="BH63">
        <f t="shared" ref="BH63" si="130">SUM(AZ63:BG63)</f>
        <v>2</v>
      </c>
      <c r="BI63">
        <v>22</v>
      </c>
    </row>
    <row r="64" spans="1:61">
      <c r="J64">
        <f>J62+J63</f>
        <v>145</v>
      </c>
      <c r="K64">
        <f>K62+K63</f>
        <v>28</v>
      </c>
      <c r="L64">
        <f>(K64+J64)/2</f>
        <v>86.5</v>
      </c>
      <c r="AY64" t="s">
        <v>12</v>
      </c>
      <c r="BI64">
        <v>86.5</v>
      </c>
    </row>
    <row r="65" spans="1:61" ht="15" customHeight="1">
      <c r="BH65">
        <f>SUM(BH62:BH64)</f>
        <v>28</v>
      </c>
    </row>
    <row r="66" spans="1:61" ht="15.95">
      <c r="A66" t="s">
        <v>0</v>
      </c>
      <c r="B66" t="s">
        <v>40</v>
      </c>
      <c r="C66" t="s">
        <v>25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39</v>
      </c>
      <c r="AX66" t="s">
        <v>26</v>
      </c>
      <c r="AY66" s="5" t="s">
        <v>40</v>
      </c>
      <c r="AZ66" t="s">
        <v>25</v>
      </c>
      <c r="BA66" t="s">
        <v>3</v>
      </c>
      <c r="BB66" t="s">
        <v>4</v>
      </c>
      <c r="BC66" t="s">
        <v>5</v>
      </c>
      <c r="BD66" t="s">
        <v>6</v>
      </c>
      <c r="BE66" t="s">
        <v>7</v>
      </c>
      <c r="BF66" t="s">
        <v>8</v>
      </c>
      <c r="BG66" t="s">
        <v>9</v>
      </c>
    </row>
    <row r="67" spans="1:61" ht="15.95">
      <c r="B67" t="s">
        <v>10</v>
      </c>
      <c r="C67">
        <v>23</v>
      </c>
      <c r="D67">
        <v>0</v>
      </c>
      <c r="E67">
        <v>0</v>
      </c>
      <c r="F67">
        <v>1</v>
      </c>
      <c r="G67">
        <v>0</v>
      </c>
      <c r="H67">
        <v>3</v>
      </c>
      <c r="I67">
        <v>1</v>
      </c>
      <c r="J67">
        <v>41</v>
      </c>
      <c r="K67">
        <f>SUM(C67:I67)</f>
        <v>28</v>
      </c>
      <c r="L67">
        <f>(K67+J67)/2</f>
        <v>34.5</v>
      </c>
      <c r="AY67" s="5" t="s">
        <v>10</v>
      </c>
      <c r="AZ67">
        <f>AVERAGE(C67,P67,AB67,AN67)</f>
        <v>23</v>
      </c>
      <c r="BA67">
        <f t="shared" ref="BA67:BA68" si="131">AVERAGE(D67,Q67,AC67,AO67)</f>
        <v>0</v>
      </c>
      <c r="BB67">
        <f t="shared" ref="BB67:BB68" si="132">AVERAGE(E67,R67,AD67,AP67)</f>
        <v>0</v>
      </c>
      <c r="BC67">
        <f t="shared" ref="BC67:BC68" si="133">AVERAGE(F67,S67,AE67,AQ67)</f>
        <v>1</v>
      </c>
      <c r="BD67">
        <f t="shared" ref="BD67:BD68" si="134">AVERAGE(G67,T67,AF67,AR67)</f>
        <v>0</v>
      </c>
      <c r="BE67">
        <f t="shared" ref="BE67:BE68" si="135">AVERAGE(H67,U67,AG67,AS67)</f>
        <v>3</v>
      </c>
      <c r="BF67">
        <f t="shared" ref="BF67:BF68" si="136">AVERAGE(I67,V67,AH67,AT67)</f>
        <v>1</v>
      </c>
      <c r="BH67">
        <f t="shared" ref="BH67:BH68" si="137">SUM(AZ67:BG67)</f>
        <v>28</v>
      </c>
      <c r="BI67">
        <v>34.5</v>
      </c>
    </row>
    <row r="68" spans="1:61" ht="15.95">
      <c r="B68" t="s">
        <v>11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>SUM(C68:I68)</f>
        <v>2</v>
      </c>
      <c r="L68">
        <f>(K68+J68)/2</f>
        <v>1</v>
      </c>
      <c r="AY68" s="5" t="s">
        <v>11</v>
      </c>
      <c r="AZ68">
        <f t="shared" ref="AZ68" si="138">AVERAGE(C68,P68,AB68,AN68)</f>
        <v>2</v>
      </c>
      <c r="BA68">
        <f t="shared" si="131"/>
        <v>0</v>
      </c>
      <c r="BB68">
        <f t="shared" si="132"/>
        <v>0</v>
      </c>
      <c r="BC68">
        <f t="shared" si="133"/>
        <v>0</v>
      </c>
      <c r="BD68">
        <f t="shared" si="134"/>
        <v>0</v>
      </c>
      <c r="BE68">
        <f t="shared" si="135"/>
        <v>0</v>
      </c>
      <c r="BF68">
        <f t="shared" si="136"/>
        <v>0</v>
      </c>
      <c r="BH68">
        <f t="shared" si="137"/>
        <v>2</v>
      </c>
      <c r="BI68">
        <v>1</v>
      </c>
    </row>
    <row r="69" spans="1:61">
      <c r="J69">
        <f>J67+J68</f>
        <v>41</v>
      </c>
      <c r="K69">
        <f>K67+K68</f>
        <v>30</v>
      </c>
      <c r="L69">
        <f>(K69+J69)/2</f>
        <v>35.5</v>
      </c>
      <c r="AY69" t="s">
        <v>12</v>
      </c>
      <c r="BI69">
        <v>35.5</v>
      </c>
    </row>
    <row r="70" spans="1:61" ht="15" customHeight="1">
      <c r="BH70">
        <f>SUM(BH67:BH69)</f>
        <v>30</v>
      </c>
    </row>
    <row r="71" spans="1:61" ht="15.95">
      <c r="A71" t="s">
        <v>0</v>
      </c>
      <c r="B71" t="s">
        <v>41</v>
      </c>
      <c r="C71" t="s">
        <v>25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39</v>
      </c>
      <c r="O71" s="5"/>
      <c r="Q71" s="5"/>
      <c r="S71" s="5"/>
      <c r="T71" s="5"/>
      <c r="U71" s="5"/>
      <c r="V71" s="5"/>
      <c r="AX71" t="s">
        <v>26</v>
      </c>
      <c r="AY71" s="5" t="s">
        <v>41</v>
      </c>
      <c r="AZ71" t="s">
        <v>25</v>
      </c>
      <c r="BA71" t="s">
        <v>3</v>
      </c>
      <c r="BB71" t="s">
        <v>4</v>
      </c>
      <c r="BC71" t="s">
        <v>5</v>
      </c>
      <c r="BD71" t="s">
        <v>6</v>
      </c>
      <c r="BE71" t="s">
        <v>7</v>
      </c>
      <c r="BF71" t="s">
        <v>8</v>
      </c>
      <c r="BG71" t="s">
        <v>9</v>
      </c>
    </row>
    <row r="72" spans="1:61" ht="15.95">
      <c r="B72" t="s">
        <v>10</v>
      </c>
      <c r="C72">
        <v>12</v>
      </c>
      <c r="D72">
        <v>2</v>
      </c>
      <c r="E72">
        <v>0</v>
      </c>
      <c r="F72">
        <v>3</v>
      </c>
      <c r="G72">
        <v>1</v>
      </c>
      <c r="H72">
        <v>0</v>
      </c>
      <c r="I72">
        <v>0</v>
      </c>
      <c r="J72">
        <v>33</v>
      </c>
      <c r="K72">
        <f>SUM(C72:I72)</f>
        <v>18</v>
      </c>
      <c r="L72">
        <f>(K72+J72)/2</f>
        <v>25.5</v>
      </c>
      <c r="O72" s="5"/>
      <c r="P72" s="5"/>
      <c r="Q72" s="5"/>
      <c r="R72" s="5"/>
      <c r="S72" s="5"/>
      <c r="T72" s="5"/>
      <c r="U72" s="5"/>
      <c r="V72" s="5"/>
      <c r="W72" s="5"/>
      <c r="AY72" s="5" t="s">
        <v>10</v>
      </c>
      <c r="AZ72">
        <f>AVERAGE(C72,P72,AB72,AN72)</f>
        <v>12</v>
      </c>
      <c r="BA72">
        <f t="shared" ref="BA72:BA73" si="139">AVERAGE(D72,Q72,AC72,AO72)</f>
        <v>2</v>
      </c>
      <c r="BB72">
        <f t="shared" ref="BB72:BB73" si="140">AVERAGE(E72,R72,AD72,AP72)</f>
        <v>0</v>
      </c>
      <c r="BC72">
        <f t="shared" ref="BC72:BC73" si="141">AVERAGE(F72,S72,AE72,AQ72)</f>
        <v>3</v>
      </c>
      <c r="BD72">
        <f t="shared" ref="BD72:BD73" si="142">AVERAGE(G72,T72,AF72,AR72)</f>
        <v>1</v>
      </c>
      <c r="BE72">
        <f t="shared" ref="BE72:BE73" si="143">AVERAGE(H72,U72,AG72,AS72)</f>
        <v>0</v>
      </c>
      <c r="BF72">
        <f t="shared" ref="BF72:BF73" si="144">AVERAGE(I72,V72,AH72,AT72)</f>
        <v>0</v>
      </c>
      <c r="BH72">
        <f t="shared" ref="BH72:BH73" si="145">SUM(AZ72:BG72)</f>
        <v>18</v>
      </c>
      <c r="BI72">
        <v>25.5</v>
      </c>
    </row>
    <row r="73" spans="1:61" ht="15.95">
      <c r="B73" t="s">
        <v>11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>SUM(C73:I73)</f>
        <v>2</v>
      </c>
      <c r="L73">
        <f>(K73+J73)/2</f>
        <v>1</v>
      </c>
      <c r="O73" s="5"/>
      <c r="P73" s="5"/>
      <c r="Q73" s="5"/>
      <c r="R73" s="5"/>
      <c r="S73" s="5"/>
      <c r="T73" s="5"/>
      <c r="U73" s="5"/>
      <c r="V73" s="5"/>
      <c r="W73" s="5"/>
      <c r="AY73" s="5" t="s">
        <v>11</v>
      </c>
      <c r="AZ73">
        <f t="shared" ref="AZ73" si="146">AVERAGE(C73,P73,AB73,AN73)</f>
        <v>2</v>
      </c>
      <c r="BA73">
        <f t="shared" si="139"/>
        <v>0</v>
      </c>
      <c r="BB73">
        <f t="shared" si="140"/>
        <v>0</v>
      </c>
      <c r="BC73">
        <f t="shared" si="141"/>
        <v>0</v>
      </c>
      <c r="BD73">
        <f t="shared" si="142"/>
        <v>0</v>
      </c>
      <c r="BE73">
        <f t="shared" si="143"/>
        <v>0</v>
      </c>
      <c r="BF73">
        <f t="shared" si="144"/>
        <v>0</v>
      </c>
      <c r="BH73">
        <f t="shared" si="145"/>
        <v>2</v>
      </c>
      <c r="BI73">
        <v>1</v>
      </c>
    </row>
    <row r="74" spans="1:61">
      <c r="J74">
        <f>J72+J73</f>
        <v>33</v>
      </c>
      <c r="K74">
        <f>K72+K73</f>
        <v>20</v>
      </c>
      <c r="L74">
        <f>(K74+J74)/2</f>
        <v>26.5</v>
      </c>
      <c r="AY74" t="s">
        <v>12</v>
      </c>
      <c r="BI74">
        <v>26.5</v>
      </c>
    </row>
    <row r="75" spans="1:61" ht="15" customHeight="1">
      <c r="BH75">
        <f>SUM(BH72:BH74)</f>
        <v>20</v>
      </c>
    </row>
    <row r="76" spans="1:61" ht="15.95">
      <c r="A76" t="s">
        <v>0</v>
      </c>
      <c r="B76" t="s">
        <v>42</v>
      </c>
      <c r="C76" t="s">
        <v>25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O76" s="5"/>
      <c r="Q76" s="5"/>
      <c r="S76" s="5"/>
      <c r="T76" s="5"/>
      <c r="U76" s="5"/>
      <c r="V76" s="5"/>
      <c r="AX76" t="s">
        <v>26</v>
      </c>
      <c r="AY76" s="5" t="s">
        <v>42</v>
      </c>
      <c r="AZ76" t="s">
        <v>25</v>
      </c>
      <c r="BA76" t="s">
        <v>3</v>
      </c>
      <c r="BB76" t="s">
        <v>4</v>
      </c>
      <c r="BC76" t="s">
        <v>5</v>
      </c>
      <c r="BD76" t="s">
        <v>6</v>
      </c>
      <c r="BE76" t="s">
        <v>7</v>
      </c>
      <c r="BF76" t="s">
        <v>8</v>
      </c>
      <c r="BG76" t="s">
        <v>9</v>
      </c>
    </row>
    <row r="77" spans="1:61" ht="15.95">
      <c r="B77" t="s">
        <v>10</v>
      </c>
      <c r="C77">
        <v>13</v>
      </c>
      <c r="D77">
        <v>2</v>
      </c>
      <c r="E77">
        <v>0</v>
      </c>
      <c r="F77">
        <v>4</v>
      </c>
      <c r="G77">
        <v>1</v>
      </c>
      <c r="H77">
        <v>0</v>
      </c>
      <c r="I77">
        <v>1</v>
      </c>
      <c r="J77">
        <v>0</v>
      </c>
      <c r="K77">
        <f>SUM(C77:J77)</f>
        <v>21</v>
      </c>
      <c r="O77" s="5"/>
      <c r="P77" s="5"/>
      <c r="Q77" s="5"/>
      <c r="R77" s="5"/>
      <c r="S77" s="5"/>
      <c r="T77" s="5"/>
      <c r="U77" s="5"/>
      <c r="V77" s="5"/>
      <c r="W77" s="5"/>
      <c r="AY77" s="5" t="s">
        <v>10</v>
      </c>
      <c r="AZ77">
        <f>AVERAGE(C77,P77,AB77,AN77)</f>
        <v>13</v>
      </c>
      <c r="BA77">
        <f t="shared" ref="BA77:BA78" si="147">AVERAGE(D77,Q77,AC77,AO77)</f>
        <v>2</v>
      </c>
      <c r="BB77">
        <f t="shared" ref="BB77:BB78" si="148">AVERAGE(E77,R77,AD77,AP77)</f>
        <v>0</v>
      </c>
      <c r="BC77">
        <f t="shared" ref="BC77:BC78" si="149">AVERAGE(F77,S77,AE77,AQ77)</f>
        <v>4</v>
      </c>
      <c r="BD77">
        <f t="shared" ref="BD77:BD78" si="150">AVERAGE(G77,T77,AF77,AR77)</f>
        <v>1</v>
      </c>
      <c r="BE77">
        <f t="shared" ref="BE77:BE78" si="151">AVERAGE(H77,U77,AG77,AS77)</f>
        <v>0</v>
      </c>
      <c r="BF77">
        <f t="shared" ref="BF77:BF78" si="152">AVERAGE(I77,V77,AH77,AT77)</f>
        <v>1</v>
      </c>
      <c r="BG77">
        <f t="shared" ref="BG77:BG78" si="153">AVERAGE(J77,W77,AI77,AU77)</f>
        <v>0</v>
      </c>
      <c r="BH77">
        <f t="shared" ref="BH77:BH78" si="154">SUM(AZ77:BG77)</f>
        <v>21</v>
      </c>
    </row>
    <row r="78" spans="1:61" ht="15.95">
      <c r="B78" t="s">
        <v>11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>SUM(C78:J78)</f>
        <v>3</v>
      </c>
      <c r="O78" s="5"/>
      <c r="P78" s="5"/>
      <c r="Q78" s="5"/>
      <c r="R78" s="5"/>
      <c r="S78" s="5"/>
      <c r="T78" s="5"/>
      <c r="U78" s="5"/>
      <c r="V78" s="5"/>
      <c r="W78" s="5"/>
      <c r="AY78" s="5" t="s">
        <v>11</v>
      </c>
      <c r="AZ78">
        <f t="shared" ref="AZ78" si="155">AVERAGE(C78,P78,AB78,AN78)</f>
        <v>2</v>
      </c>
      <c r="BA78">
        <f t="shared" si="147"/>
        <v>1</v>
      </c>
      <c r="BB78">
        <f t="shared" si="148"/>
        <v>0</v>
      </c>
      <c r="BC78">
        <f t="shared" si="149"/>
        <v>0</v>
      </c>
      <c r="BD78">
        <f t="shared" si="150"/>
        <v>0</v>
      </c>
      <c r="BE78">
        <f t="shared" si="151"/>
        <v>0</v>
      </c>
      <c r="BF78">
        <f t="shared" si="152"/>
        <v>0</v>
      </c>
      <c r="BG78">
        <f t="shared" si="153"/>
        <v>0</v>
      </c>
      <c r="BH78">
        <f t="shared" si="154"/>
        <v>3</v>
      </c>
    </row>
    <row r="79" spans="1:61">
      <c r="K79">
        <f>K77+K78</f>
        <v>24</v>
      </c>
      <c r="AY79" t="s">
        <v>12</v>
      </c>
    </row>
    <row r="80" spans="1:61" ht="15" customHeight="1">
      <c r="BH80">
        <f>SUM(BH77:BH79)</f>
        <v>24</v>
      </c>
      <c r="BI80">
        <f t="shared" ref="BI80:BI85" si="156">AVERAGE(K79, X79)</f>
        <v>24</v>
      </c>
    </row>
    <row r="81" spans="1:61" ht="15.95">
      <c r="A81" t="s">
        <v>0</v>
      </c>
      <c r="B81" t="s">
        <v>43</v>
      </c>
      <c r="C81" t="s">
        <v>25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AX81" t="s">
        <v>26</v>
      </c>
      <c r="AY81" s="5" t="s">
        <v>43</v>
      </c>
      <c r="AZ81" t="s">
        <v>25</v>
      </c>
      <c r="BA81" t="s">
        <v>3</v>
      </c>
      <c r="BB81" t="s">
        <v>4</v>
      </c>
      <c r="BC81" t="s">
        <v>5</v>
      </c>
      <c r="BD81" t="s">
        <v>6</v>
      </c>
      <c r="BE81" t="s">
        <v>7</v>
      </c>
      <c r="BF81" t="s">
        <v>8</v>
      </c>
      <c r="BG81" t="s">
        <v>9</v>
      </c>
    </row>
    <row r="82" spans="1:61" ht="15.95">
      <c r="B82" t="s">
        <v>10</v>
      </c>
      <c r="C82">
        <v>21</v>
      </c>
      <c r="D82">
        <v>4</v>
      </c>
      <c r="E82">
        <v>0</v>
      </c>
      <c r="F82">
        <v>1</v>
      </c>
      <c r="G82">
        <v>2</v>
      </c>
      <c r="H82">
        <v>1</v>
      </c>
      <c r="I82">
        <v>2</v>
      </c>
      <c r="J82">
        <v>0</v>
      </c>
      <c r="K82">
        <f>SUM(C82:J82)</f>
        <v>31</v>
      </c>
      <c r="AY82" s="5" t="s">
        <v>10</v>
      </c>
      <c r="AZ82">
        <f>AVERAGE(C82,P82,AB82,AN82)</f>
        <v>21</v>
      </c>
      <c r="BA82">
        <f t="shared" ref="BA82:BA83" si="157">AVERAGE(D82,Q82,AC82,AO82)</f>
        <v>4</v>
      </c>
      <c r="BB82">
        <f t="shared" ref="BB82:BB83" si="158">AVERAGE(E82,R82,AD82,AP82)</f>
        <v>0</v>
      </c>
      <c r="BC82">
        <f t="shared" ref="BC82:BC83" si="159">AVERAGE(F82,S82,AE82,AQ82)</f>
        <v>1</v>
      </c>
      <c r="BD82">
        <f t="shared" ref="BD82:BD83" si="160">AVERAGE(G82,T82,AF82,AR82)</f>
        <v>2</v>
      </c>
      <c r="BE82">
        <f t="shared" ref="BE82:BE83" si="161">AVERAGE(H82,U82,AG82,AS82)</f>
        <v>1</v>
      </c>
      <c r="BF82">
        <f t="shared" ref="BF82:BF83" si="162">AVERAGE(I82,V82,AH82,AT82)</f>
        <v>2</v>
      </c>
      <c r="BG82">
        <f t="shared" ref="BG82:BG83" si="163">AVERAGE(J82,W82,AI82,AU82)</f>
        <v>0</v>
      </c>
      <c r="BH82">
        <f t="shared" ref="BH82:BH83" si="164">SUM(AZ82:BG82)</f>
        <v>31</v>
      </c>
    </row>
    <row r="83" spans="1:61" ht="15.95">
      <c r="B83" t="s">
        <v>11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>SUM(C83:J83)</f>
        <v>3</v>
      </c>
      <c r="AY83" s="5" t="s">
        <v>11</v>
      </c>
      <c r="AZ83">
        <f t="shared" ref="AZ83" si="165">AVERAGE(C83,P83,AB83,AN83)</f>
        <v>3</v>
      </c>
      <c r="BA83">
        <f t="shared" si="157"/>
        <v>0</v>
      </c>
      <c r="BB83">
        <f t="shared" si="158"/>
        <v>0</v>
      </c>
      <c r="BC83">
        <f t="shared" si="159"/>
        <v>0</v>
      </c>
      <c r="BD83">
        <f t="shared" si="160"/>
        <v>0</v>
      </c>
      <c r="BE83">
        <f t="shared" si="161"/>
        <v>0</v>
      </c>
      <c r="BF83">
        <f t="shared" si="162"/>
        <v>0</v>
      </c>
      <c r="BG83">
        <f t="shared" si="163"/>
        <v>0</v>
      </c>
      <c r="BH83">
        <f t="shared" si="164"/>
        <v>3</v>
      </c>
    </row>
    <row r="84" spans="1:61">
      <c r="K84">
        <f>K82+K83</f>
        <v>34</v>
      </c>
      <c r="AY84" t="s">
        <v>12</v>
      </c>
    </row>
    <row r="85" spans="1:61" ht="15" customHeight="1">
      <c r="BH85">
        <f>SUM(BH82:BH84)</f>
        <v>34</v>
      </c>
      <c r="BI85">
        <f t="shared" si="156"/>
        <v>34</v>
      </c>
    </row>
    <row r="86" spans="1:61" ht="15.95">
      <c r="AX86" t="s">
        <v>26</v>
      </c>
      <c r="AY86" s="5" t="s">
        <v>44</v>
      </c>
      <c r="AZ86" t="s">
        <v>25</v>
      </c>
      <c r="BA86" t="s">
        <v>3</v>
      </c>
      <c r="BB86" t="s">
        <v>4</v>
      </c>
      <c r="BC86" t="s">
        <v>5</v>
      </c>
      <c r="BD86" t="s">
        <v>6</v>
      </c>
      <c r="BE86" t="s">
        <v>7</v>
      </c>
      <c r="BF86" t="s">
        <v>8</v>
      </c>
      <c r="BG86" t="s">
        <v>9</v>
      </c>
    </row>
    <row r="87" spans="1:61" ht="15.95">
      <c r="AY87" s="5" t="s">
        <v>10</v>
      </c>
    </row>
    <row r="88" spans="1:61" ht="15.95">
      <c r="AY88" s="5" t="s">
        <v>11</v>
      </c>
    </row>
    <row r="89" spans="1:61">
      <c r="AY89" t="s">
        <v>12</v>
      </c>
    </row>
    <row r="91" spans="1:61" ht="15.95">
      <c r="A91" t="s">
        <v>0</v>
      </c>
      <c r="B91" t="s">
        <v>45</v>
      </c>
      <c r="C91" t="s">
        <v>25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AX91" t="s">
        <v>26</v>
      </c>
      <c r="AY91" s="5" t="s">
        <v>45</v>
      </c>
      <c r="AZ91" t="s">
        <v>25</v>
      </c>
      <c r="BA91" t="s">
        <v>3</v>
      </c>
      <c r="BB91" t="s">
        <v>4</v>
      </c>
      <c r="BC91" t="s">
        <v>5</v>
      </c>
      <c r="BD91" t="s">
        <v>6</v>
      </c>
      <c r="BE91" t="s">
        <v>7</v>
      </c>
      <c r="BF91" t="s">
        <v>8</v>
      </c>
      <c r="BG91" t="s">
        <v>9</v>
      </c>
    </row>
    <row r="92" spans="1:61" ht="15.95">
      <c r="B92" t="s">
        <v>10</v>
      </c>
      <c r="C92">
        <v>6</v>
      </c>
      <c r="D92">
        <v>2</v>
      </c>
      <c r="E92">
        <v>0</v>
      </c>
      <c r="F92">
        <v>3</v>
      </c>
      <c r="G92">
        <v>1</v>
      </c>
      <c r="H92">
        <v>0</v>
      </c>
      <c r="I92">
        <v>1</v>
      </c>
      <c r="J92">
        <v>0</v>
      </c>
      <c r="K92">
        <f>SUM(C92:J92)</f>
        <v>13</v>
      </c>
      <c r="AY92" s="5" t="s">
        <v>10</v>
      </c>
      <c r="AZ92">
        <f>AVERAGE(C92,P92,AB92,AN92)</f>
        <v>6</v>
      </c>
      <c r="BA92">
        <f t="shared" ref="BA92:BA93" si="166">AVERAGE(D92,Q92,AC92,AO92)</f>
        <v>2</v>
      </c>
      <c r="BB92">
        <f t="shared" ref="BB92:BB93" si="167">AVERAGE(E92,R92,AD92,AP92)</f>
        <v>0</v>
      </c>
      <c r="BC92">
        <f t="shared" ref="BC92:BC93" si="168">AVERAGE(F92,S92,AE92,AQ92)</f>
        <v>3</v>
      </c>
      <c r="BD92">
        <f t="shared" ref="BD92:BD93" si="169">AVERAGE(G92,T92,AF92,AR92)</f>
        <v>1</v>
      </c>
      <c r="BE92">
        <f t="shared" ref="BE92:BE93" si="170">AVERAGE(H92,U92,AG92,AS92)</f>
        <v>0</v>
      </c>
      <c r="BF92">
        <f t="shared" ref="BF92:BF93" si="171">AVERAGE(I92,V92,AH92,AT92)</f>
        <v>1</v>
      </c>
      <c r="BG92">
        <f t="shared" ref="BG92:BG93" si="172">AVERAGE(J92,W92,AI92,AU92)</f>
        <v>0</v>
      </c>
      <c r="BH92">
        <f t="shared" ref="BH92:BH93" si="173">SUM(AZ92:BG92)</f>
        <v>13</v>
      </c>
    </row>
    <row r="93" spans="1:61" ht="15.95">
      <c r="B93" t="s">
        <v>11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f>SUM(C93:J93)</f>
        <v>2</v>
      </c>
      <c r="AY93" s="5" t="s">
        <v>11</v>
      </c>
      <c r="AZ93">
        <f t="shared" ref="AZ93" si="174">AVERAGE(C93,P93,AB93,AN93)</f>
        <v>2</v>
      </c>
      <c r="BA93">
        <f t="shared" si="166"/>
        <v>0</v>
      </c>
      <c r="BB93">
        <f t="shared" si="167"/>
        <v>0</v>
      </c>
      <c r="BC93">
        <f t="shared" si="168"/>
        <v>0</v>
      </c>
      <c r="BD93">
        <f t="shared" si="169"/>
        <v>0</v>
      </c>
      <c r="BE93">
        <f t="shared" si="170"/>
        <v>0</v>
      </c>
      <c r="BF93">
        <f t="shared" si="171"/>
        <v>0</v>
      </c>
      <c r="BG93">
        <f t="shared" si="172"/>
        <v>0</v>
      </c>
      <c r="BH93">
        <f t="shared" si="173"/>
        <v>2</v>
      </c>
    </row>
    <row r="94" spans="1:61">
      <c r="K94">
        <f>K92+K93</f>
        <v>15</v>
      </c>
      <c r="AY94" t="s">
        <v>12</v>
      </c>
    </row>
    <row r="95" spans="1:61" ht="15" customHeight="1">
      <c r="BH95">
        <f t="shared" ref="BH95" si="175">SUM(BH92:BH94)</f>
        <v>15</v>
      </c>
      <c r="BI95">
        <f t="shared" ref="BI95" si="176">AVERAGE(K94, X94)</f>
        <v>15</v>
      </c>
    </row>
    <row r="96" spans="1:61" ht="15.95">
      <c r="A96" t="s">
        <v>0</v>
      </c>
      <c r="B96" t="s">
        <v>46</v>
      </c>
      <c r="C96" t="s">
        <v>25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AX96" t="s">
        <v>26</v>
      </c>
      <c r="AY96" s="5" t="s">
        <v>46</v>
      </c>
      <c r="AZ96" t="s">
        <v>25</v>
      </c>
      <c r="BA96" t="s">
        <v>3</v>
      </c>
      <c r="BB96" t="s">
        <v>4</v>
      </c>
      <c r="BC96" t="s">
        <v>5</v>
      </c>
      <c r="BD96" t="s">
        <v>6</v>
      </c>
      <c r="BE96" t="s">
        <v>7</v>
      </c>
      <c r="BF96" t="s">
        <v>8</v>
      </c>
      <c r="BG96" t="s">
        <v>9</v>
      </c>
    </row>
    <row r="97" spans="1:61" ht="15.95">
      <c r="B97" t="s">
        <v>10</v>
      </c>
      <c r="C97">
        <v>11</v>
      </c>
      <c r="D97">
        <v>3</v>
      </c>
      <c r="E97">
        <v>0</v>
      </c>
      <c r="F97">
        <v>2</v>
      </c>
      <c r="G97">
        <v>1</v>
      </c>
      <c r="H97">
        <v>0</v>
      </c>
      <c r="I97">
        <v>2</v>
      </c>
      <c r="J97">
        <v>0</v>
      </c>
      <c r="K97">
        <f>SUM(C97:J97)</f>
        <v>19</v>
      </c>
      <c r="AY97" s="5" t="s">
        <v>10</v>
      </c>
      <c r="AZ97">
        <f>AVERAGE(C97,P97,AB97,AN97)</f>
        <v>11</v>
      </c>
      <c r="BA97">
        <f t="shared" ref="BA97:BA98" si="177">AVERAGE(D97,Q97,AC97,AO97)</f>
        <v>3</v>
      </c>
      <c r="BB97">
        <f t="shared" ref="BB97:BB98" si="178">AVERAGE(E97,R97,AD97,AP97)</f>
        <v>0</v>
      </c>
      <c r="BC97">
        <f t="shared" ref="BC97:BC98" si="179">AVERAGE(F97,S97,AE97,AQ97)</f>
        <v>2</v>
      </c>
      <c r="BD97">
        <f t="shared" ref="BD97:BD98" si="180">AVERAGE(G97,T97,AF97,AR97)</f>
        <v>1</v>
      </c>
      <c r="BE97">
        <f t="shared" ref="BE97:BE98" si="181">AVERAGE(H97,U97,AG97,AS97)</f>
        <v>0</v>
      </c>
      <c r="BF97">
        <f t="shared" ref="BF97:BF98" si="182">AVERAGE(I97,V97,AH97,AT97)</f>
        <v>2</v>
      </c>
      <c r="BG97">
        <f t="shared" ref="BG97:BG98" si="183">AVERAGE(J97,W97,AI97,AU97)</f>
        <v>0</v>
      </c>
      <c r="BH97">
        <f t="shared" ref="BH97:BH98" si="184">SUM(AZ97:BG97)</f>
        <v>19</v>
      </c>
    </row>
    <row r="98" spans="1:61" ht="15.95">
      <c r="B98" t="s">
        <v>11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f>SUM(C98:J98)</f>
        <v>1</v>
      </c>
      <c r="AY98" s="5" t="s">
        <v>11</v>
      </c>
      <c r="AZ98">
        <f t="shared" ref="AZ98" si="185">AVERAGE(C98,P98,AB98,AN98)</f>
        <v>1</v>
      </c>
      <c r="BA98">
        <f t="shared" si="177"/>
        <v>0</v>
      </c>
      <c r="BB98">
        <f t="shared" si="178"/>
        <v>0</v>
      </c>
      <c r="BC98">
        <f t="shared" si="179"/>
        <v>0</v>
      </c>
      <c r="BD98">
        <f t="shared" si="180"/>
        <v>0</v>
      </c>
      <c r="BE98">
        <f t="shared" si="181"/>
        <v>0</v>
      </c>
      <c r="BF98">
        <f t="shared" si="182"/>
        <v>0</v>
      </c>
      <c r="BG98">
        <f t="shared" si="183"/>
        <v>0</v>
      </c>
      <c r="BH98">
        <f t="shared" si="184"/>
        <v>1</v>
      </c>
    </row>
    <row r="99" spans="1:61">
      <c r="K99">
        <f>K97+K98</f>
        <v>20</v>
      </c>
      <c r="AY99" t="s">
        <v>12</v>
      </c>
    </row>
    <row r="100" spans="1:61" ht="15" customHeight="1">
      <c r="BH100">
        <f t="shared" ref="BH100" si="186">SUM(BH97:BH99)</f>
        <v>20</v>
      </c>
      <c r="BI100">
        <f t="shared" ref="BI100" si="187">AVERAGE(K99, X99)</f>
        <v>20</v>
      </c>
    </row>
    <row r="101" spans="1:61" ht="15.95">
      <c r="A101" t="s">
        <v>0</v>
      </c>
      <c r="B101" t="s">
        <v>47</v>
      </c>
      <c r="C101" t="s">
        <v>25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N101" t="s">
        <v>13</v>
      </c>
      <c r="O101" s="5" t="s">
        <v>47</v>
      </c>
      <c r="P101" t="s">
        <v>25</v>
      </c>
      <c r="Q101" s="5" t="s">
        <v>14</v>
      </c>
      <c r="R101" t="s">
        <v>4</v>
      </c>
      <c r="S101" s="5" t="s">
        <v>5</v>
      </c>
      <c r="T101" s="5" t="s">
        <v>6</v>
      </c>
      <c r="U101" s="5" t="s">
        <v>7</v>
      </c>
      <c r="V101" s="5" t="s">
        <v>8</v>
      </c>
      <c r="W101" t="s">
        <v>9</v>
      </c>
      <c r="AX101" t="s">
        <v>26</v>
      </c>
      <c r="AY101" s="5" t="s">
        <v>47</v>
      </c>
      <c r="AZ101" t="s">
        <v>25</v>
      </c>
      <c r="BA101" t="s">
        <v>3</v>
      </c>
      <c r="BB101" t="s">
        <v>4</v>
      </c>
      <c r="BC101" t="s">
        <v>5</v>
      </c>
      <c r="BD101" t="s">
        <v>6</v>
      </c>
      <c r="BE101" t="s">
        <v>7</v>
      </c>
      <c r="BF101" t="s">
        <v>8</v>
      </c>
      <c r="BG101" t="s">
        <v>9</v>
      </c>
    </row>
    <row r="102" spans="1:61" ht="15.95">
      <c r="B102" t="s">
        <v>10</v>
      </c>
      <c r="C102">
        <v>5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f>SUM(C102:J102)</f>
        <v>7</v>
      </c>
      <c r="O102" s="5" t="s">
        <v>10</v>
      </c>
      <c r="P102" s="5">
        <v>4</v>
      </c>
      <c r="Q102" s="5">
        <v>0</v>
      </c>
      <c r="R102" s="5">
        <v>1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>
        <f>SUM(P102:W102)</f>
        <v>5</v>
      </c>
      <c r="AY102" s="5" t="s">
        <v>10</v>
      </c>
      <c r="AZ102">
        <f>AVERAGE(C102,P102,AB102,AN102)</f>
        <v>4.5</v>
      </c>
      <c r="BA102">
        <f t="shared" ref="BA102:BA103" si="188">AVERAGE(D102,Q102,AC102,AO102)</f>
        <v>0.5</v>
      </c>
      <c r="BB102">
        <f t="shared" ref="BB102:BB103" si="189">AVERAGE(E102,R102,AD102,AP102)</f>
        <v>0.5</v>
      </c>
      <c r="BC102">
        <f t="shared" ref="BC102:BC103" si="190">AVERAGE(F102,S102,AE102,AQ102)</f>
        <v>0</v>
      </c>
      <c r="BD102">
        <f t="shared" ref="BD102:BD103" si="191">AVERAGE(G102,T102,AF102,AR102)</f>
        <v>0.5</v>
      </c>
      <c r="BE102">
        <f t="shared" ref="BE102:BE103" si="192">AVERAGE(H102,U102,AG102,AS102)</f>
        <v>0</v>
      </c>
      <c r="BF102">
        <f t="shared" ref="BF102:BF103" si="193">AVERAGE(I102,V102,AH102,AT102)</f>
        <v>0</v>
      </c>
      <c r="BG102">
        <f t="shared" ref="BG102:BG103" si="194">AVERAGE(J102,W102,AI102,AU102)</f>
        <v>0</v>
      </c>
      <c r="BH102">
        <f t="shared" ref="BH102:BH103" si="195">SUM(AZ102:BG102)</f>
        <v>6</v>
      </c>
    </row>
    <row r="103" spans="1:61" ht="15.95">
      <c r="B103" t="s">
        <v>11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>SUM(C103:J103)</f>
        <v>2</v>
      </c>
      <c r="O103" s="5" t="s">
        <v>11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>
        <f>SUM(P103:V103)</f>
        <v>0</v>
      </c>
      <c r="AY103" s="5" t="s">
        <v>11</v>
      </c>
      <c r="AZ103">
        <f t="shared" ref="AZ103" si="196">AVERAGE(C103,P103,AB103,AN103)</f>
        <v>0</v>
      </c>
      <c r="BA103">
        <f t="shared" si="188"/>
        <v>1</v>
      </c>
      <c r="BB103">
        <f t="shared" si="189"/>
        <v>0</v>
      </c>
      <c r="BC103">
        <f t="shared" si="190"/>
        <v>0</v>
      </c>
      <c r="BD103">
        <f t="shared" si="191"/>
        <v>0</v>
      </c>
      <c r="BE103">
        <f t="shared" si="192"/>
        <v>0</v>
      </c>
      <c r="BF103">
        <f t="shared" si="193"/>
        <v>0</v>
      </c>
      <c r="BG103">
        <f t="shared" si="194"/>
        <v>0</v>
      </c>
      <c r="BH103">
        <f t="shared" si="195"/>
        <v>1</v>
      </c>
    </row>
    <row r="104" spans="1:61">
      <c r="K104">
        <f>K102+K103</f>
        <v>9</v>
      </c>
      <c r="X104">
        <f>X102+X103</f>
        <v>5</v>
      </c>
      <c r="AY104" t="s">
        <v>12</v>
      </c>
    </row>
    <row r="105" spans="1:61">
      <c r="BH105">
        <f t="shared" ref="BH105" si="197">SUM(BH102:BH104)</f>
        <v>7</v>
      </c>
      <c r="BI105">
        <f t="shared" ref="BI105" si="198">AVERAGE(K104, X104)</f>
        <v>7</v>
      </c>
    </row>
    <row r="106" spans="1:61" ht="15.95">
      <c r="Z106" t="s">
        <v>20</v>
      </c>
      <c r="AA106" s="5" t="s">
        <v>48</v>
      </c>
      <c r="AB106" t="s">
        <v>25</v>
      </c>
      <c r="AC106" s="5" t="s">
        <v>14</v>
      </c>
      <c r="AD106" t="s">
        <v>4</v>
      </c>
      <c r="AE106" s="5" t="s">
        <v>5</v>
      </c>
      <c r="AF106" s="5" t="s">
        <v>6</v>
      </c>
      <c r="AG106" s="5" t="s">
        <v>7</v>
      </c>
      <c r="AH106" s="5" t="s">
        <v>8</v>
      </c>
      <c r="AI106" t="s">
        <v>9</v>
      </c>
      <c r="AL106" t="s">
        <v>20</v>
      </c>
      <c r="AM106" s="5" t="s">
        <v>48</v>
      </c>
      <c r="AN106" t="s">
        <v>25</v>
      </c>
      <c r="AO106" s="5" t="s">
        <v>14</v>
      </c>
      <c r="AP106" t="s">
        <v>4</v>
      </c>
      <c r="AQ106" s="5" t="s">
        <v>5</v>
      </c>
      <c r="AR106" s="5" t="s">
        <v>6</v>
      </c>
      <c r="AS106" s="5" t="s">
        <v>7</v>
      </c>
      <c r="AT106" s="5" t="s">
        <v>8</v>
      </c>
      <c r="AU106" t="s">
        <v>9</v>
      </c>
      <c r="AX106" t="s">
        <v>26</v>
      </c>
      <c r="AY106" s="5" t="s">
        <v>48</v>
      </c>
      <c r="AZ106" t="s">
        <v>25</v>
      </c>
      <c r="BA106" t="s">
        <v>3</v>
      </c>
      <c r="BB106" t="s">
        <v>4</v>
      </c>
      <c r="BC106" t="s">
        <v>5</v>
      </c>
      <c r="BD106" t="s">
        <v>6</v>
      </c>
      <c r="BE106" t="s">
        <v>7</v>
      </c>
      <c r="BF106" t="s">
        <v>8</v>
      </c>
      <c r="BG106" t="s">
        <v>9</v>
      </c>
    </row>
    <row r="107" spans="1:61" ht="15.95">
      <c r="AA107" s="5" t="s">
        <v>10</v>
      </c>
      <c r="AB107" s="5">
        <v>30</v>
      </c>
      <c r="AC107" s="5">
        <v>3</v>
      </c>
      <c r="AD107" s="5">
        <v>0</v>
      </c>
      <c r="AE107" s="5">
        <v>0</v>
      </c>
      <c r="AF107" s="5">
        <v>0</v>
      </c>
      <c r="AG107" s="5">
        <v>0</v>
      </c>
      <c r="AH107" s="5">
        <v>1</v>
      </c>
      <c r="AI107" s="5">
        <v>0</v>
      </c>
      <c r="AJ107">
        <f>SUM(AB107:AI107)</f>
        <v>34</v>
      </c>
      <c r="AM107" s="5" t="s">
        <v>10</v>
      </c>
      <c r="AN107" s="5">
        <v>22</v>
      </c>
      <c r="AO107" s="5">
        <v>2</v>
      </c>
      <c r="AP107" s="5">
        <v>0</v>
      </c>
      <c r="AQ107" s="5">
        <v>1</v>
      </c>
      <c r="AR107" s="5">
        <v>0</v>
      </c>
      <c r="AS107" s="5">
        <v>0</v>
      </c>
      <c r="AT107" s="5">
        <v>1</v>
      </c>
      <c r="AU107" s="5">
        <v>0</v>
      </c>
      <c r="AV107">
        <f>SUM(AN107:AU107)</f>
        <v>26</v>
      </c>
      <c r="AY107" s="5" t="s">
        <v>10</v>
      </c>
      <c r="AZ107">
        <f>AVERAGE(C107,P107,AB107,AN107)</f>
        <v>26</v>
      </c>
      <c r="BA107">
        <f t="shared" ref="BA107:BA109" si="199">AVERAGE(D107,Q107,AC107,AO107)</f>
        <v>2.5</v>
      </c>
      <c r="BB107">
        <f t="shared" ref="BB107:BB109" si="200">AVERAGE(E107,R107,AD107,AP107)</f>
        <v>0</v>
      </c>
      <c r="BC107">
        <f t="shared" ref="BC107:BC109" si="201">AVERAGE(F107,S107,AE107,AQ107)</f>
        <v>0.5</v>
      </c>
      <c r="BD107">
        <f t="shared" ref="BD107:BD109" si="202">AVERAGE(G107,T107,AF107,AR107)</f>
        <v>0</v>
      </c>
      <c r="BE107">
        <f t="shared" ref="BE107:BE109" si="203">AVERAGE(H107,U107,AG107,AS107)</f>
        <v>0</v>
      </c>
      <c r="BF107">
        <f t="shared" ref="BF107:BF109" si="204">AVERAGE(I107,V107,AH107,AT107)</f>
        <v>1</v>
      </c>
      <c r="BG107">
        <f t="shared" ref="BG107:BG109" si="205">AVERAGE(J107,W107,AI107,AU107)</f>
        <v>0</v>
      </c>
      <c r="BH107">
        <f t="shared" ref="BH107:BH109" si="206">SUM(AZ107:BG107)</f>
        <v>30</v>
      </c>
      <c r="BI107">
        <f>AVERAGE(K107, X107, AV107, AJ107 )</f>
        <v>30</v>
      </c>
    </row>
    <row r="108" spans="1:61" ht="15.95">
      <c r="AA108" s="5" t="s">
        <v>11</v>
      </c>
      <c r="AB108" s="5">
        <v>19</v>
      </c>
      <c r="AC108" s="5">
        <v>2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>
        <f t="shared" ref="AJ108:AJ109" si="207">SUM(AB108:AI108)</f>
        <v>21</v>
      </c>
      <c r="AM108" s="5" t="s">
        <v>11</v>
      </c>
      <c r="AN108" s="5">
        <v>9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>
        <f t="shared" ref="AV108:AV109" si="208">SUM(AN108:AU108)</f>
        <v>9</v>
      </c>
      <c r="AY108" s="5" t="s">
        <v>11</v>
      </c>
      <c r="AZ108">
        <f t="shared" ref="AZ108:AZ109" si="209">AVERAGE(C108,P108,AB108,AN108)</f>
        <v>14</v>
      </c>
      <c r="BA108">
        <f t="shared" si="199"/>
        <v>1</v>
      </c>
      <c r="BB108">
        <f t="shared" si="200"/>
        <v>0</v>
      </c>
      <c r="BC108">
        <f t="shared" si="201"/>
        <v>0</v>
      </c>
      <c r="BD108">
        <f t="shared" si="202"/>
        <v>0</v>
      </c>
      <c r="BE108">
        <f t="shared" si="203"/>
        <v>0</v>
      </c>
      <c r="BF108">
        <f t="shared" si="204"/>
        <v>0</v>
      </c>
      <c r="BG108">
        <f t="shared" si="205"/>
        <v>0</v>
      </c>
      <c r="BH108">
        <f t="shared" si="206"/>
        <v>15</v>
      </c>
      <c r="BI108">
        <f>AVERAGE(K108, X108, AV108, AJ108 )</f>
        <v>15</v>
      </c>
    </row>
    <row r="109" spans="1:61">
      <c r="AA109" t="s">
        <v>12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207"/>
        <v>1</v>
      </c>
      <c r="AM109" t="s">
        <v>12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f t="shared" si="208"/>
        <v>1</v>
      </c>
      <c r="AY109" t="s">
        <v>12</v>
      </c>
      <c r="AZ109">
        <f t="shared" si="209"/>
        <v>1</v>
      </c>
      <c r="BA109">
        <f t="shared" si="199"/>
        <v>0</v>
      </c>
      <c r="BB109">
        <f t="shared" si="200"/>
        <v>0</v>
      </c>
      <c r="BC109">
        <f t="shared" si="201"/>
        <v>0</v>
      </c>
      <c r="BD109">
        <f t="shared" si="202"/>
        <v>0</v>
      </c>
      <c r="BE109">
        <f t="shared" si="203"/>
        <v>0</v>
      </c>
      <c r="BF109">
        <f t="shared" si="204"/>
        <v>0</v>
      </c>
      <c r="BG109">
        <f t="shared" si="205"/>
        <v>0</v>
      </c>
      <c r="BH109">
        <f t="shared" si="206"/>
        <v>1</v>
      </c>
      <c r="BI109">
        <f>AVERAGE(K109, X109, AV109, AJ109 )</f>
        <v>1</v>
      </c>
    </row>
    <row r="110" spans="1:61" ht="15.95">
      <c r="O110" s="5"/>
      <c r="P110" s="5"/>
      <c r="Q110" s="5"/>
      <c r="R110" s="5"/>
      <c r="S110" s="5"/>
      <c r="T110" s="5"/>
      <c r="U110" s="5"/>
      <c r="V110" s="5"/>
      <c r="W110" s="5"/>
      <c r="AJ110">
        <f>SUM(AJ107:AJ109)</f>
        <v>56</v>
      </c>
      <c r="AV110">
        <f>SUM(AV107:AV109)</f>
        <v>36</v>
      </c>
      <c r="BH110">
        <f t="shared" ref="BH110:BH135" si="210">SUM(BH107:BH109)</f>
        <v>46</v>
      </c>
      <c r="BI110">
        <f>AVERAGE(K110, X110, AJ110, AV110)</f>
        <v>46</v>
      </c>
    </row>
    <row r="111" spans="1:61" ht="15.95">
      <c r="N111" t="s">
        <v>13</v>
      </c>
      <c r="O111" s="5" t="s">
        <v>49</v>
      </c>
      <c r="P111" t="s">
        <v>25</v>
      </c>
      <c r="Q111" s="5" t="s">
        <v>14</v>
      </c>
      <c r="R111" t="s">
        <v>4</v>
      </c>
      <c r="S111" s="5" t="s">
        <v>5</v>
      </c>
      <c r="T111" s="5" t="s">
        <v>6</v>
      </c>
      <c r="U111" s="5" t="s">
        <v>7</v>
      </c>
      <c r="V111" s="5" t="s">
        <v>8</v>
      </c>
      <c r="W111" t="s">
        <v>9</v>
      </c>
      <c r="Z111" t="s">
        <v>20</v>
      </c>
      <c r="AA111" s="5" t="s">
        <v>49</v>
      </c>
      <c r="AB111" t="s">
        <v>25</v>
      </c>
      <c r="AC111" s="5" t="s">
        <v>14</v>
      </c>
      <c r="AD111" t="s">
        <v>4</v>
      </c>
      <c r="AE111" s="5" t="s">
        <v>5</v>
      </c>
      <c r="AF111" s="5" t="s">
        <v>6</v>
      </c>
      <c r="AG111" s="5" t="s">
        <v>7</v>
      </c>
      <c r="AH111" s="5" t="s">
        <v>8</v>
      </c>
      <c r="AI111" t="s">
        <v>9</v>
      </c>
      <c r="AL111" t="s">
        <v>20</v>
      </c>
      <c r="AM111" s="5" t="s">
        <v>49</v>
      </c>
      <c r="AN111" t="s">
        <v>25</v>
      </c>
      <c r="AO111" s="5" t="s">
        <v>14</v>
      </c>
      <c r="AP111" t="s">
        <v>4</v>
      </c>
      <c r="AQ111" s="5" t="s">
        <v>5</v>
      </c>
      <c r="AR111" s="5" t="s">
        <v>6</v>
      </c>
      <c r="AS111" s="5" t="s">
        <v>7</v>
      </c>
      <c r="AT111" s="5" t="s">
        <v>8</v>
      </c>
      <c r="AU111" t="s">
        <v>9</v>
      </c>
      <c r="AX111" t="s">
        <v>26</v>
      </c>
      <c r="AY111" s="5" t="s">
        <v>49</v>
      </c>
      <c r="AZ111" t="s">
        <v>25</v>
      </c>
      <c r="BA111" t="s">
        <v>3</v>
      </c>
      <c r="BB111" t="s">
        <v>4</v>
      </c>
      <c r="BC111" t="s">
        <v>5</v>
      </c>
      <c r="BD111" t="s">
        <v>6</v>
      </c>
      <c r="BE111" t="s">
        <v>7</v>
      </c>
      <c r="BF111" t="s">
        <v>8</v>
      </c>
      <c r="BG111" t="s">
        <v>9</v>
      </c>
    </row>
    <row r="112" spans="1:61" ht="15.95">
      <c r="O112" s="5" t="s">
        <v>10</v>
      </c>
      <c r="P112" s="5">
        <v>8</v>
      </c>
      <c r="Q112" s="5">
        <v>5</v>
      </c>
      <c r="R112" s="5">
        <v>2</v>
      </c>
      <c r="S112" s="5">
        <v>1</v>
      </c>
      <c r="T112" s="5">
        <v>2</v>
      </c>
      <c r="U112" s="5">
        <v>0</v>
      </c>
      <c r="V112" s="5">
        <v>0</v>
      </c>
      <c r="W112" s="5">
        <v>0</v>
      </c>
      <c r="X112">
        <f>SUM(P112:W112)</f>
        <v>18</v>
      </c>
      <c r="AA112" s="5" t="s">
        <v>10</v>
      </c>
      <c r="AB112" s="5">
        <v>29</v>
      </c>
      <c r="AC112" s="5">
        <v>2</v>
      </c>
      <c r="AD112" s="5">
        <v>0</v>
      </c>
      <c r="AE112" s="5">
        <v>5</v>
      </c>
      <c r="AF112" s="5">
        <v>0</v>
      </c>
      <c r="AG112" s="5">
        <v>0</v>
      </c>
      <c r="AH112" s="5">
        <v>0</v>
      </c>
      <c r="AI112" s="5">
        <v>0</v>
      </c>
      <c r="AJ112">
        <f>SUM(AB112:AI112)</f>
        <v>36</v>
      </c>
      <c r="AM112" s="5" t="s">
        <v>10</v>
      </c>
      <c r="AN112" s="5">
        <v>17</v>
      </c>
      <c r="AO112" s="5">
        <v>10</v>
      </c>
      <c r="AP112" s="5">
        <v>0</v>
      </c>
      <c r="AQ112" s="5">
        <v>3</v>
      </c>
      <c r="AR112" s="5">
        <v>1</v>
      </c>
      <c r="AS112" s="5">
        <v>1</v>
      </c>
      <c r="AT112" s="5">
        <v>1</v>
      </c>
      <c r="AU112" s="5">
        <v>0</v>
      </c>
      <c r="AV112">
        <f>SUM(AN112:AU112)</f>
        <v>33</v>
      </c>
      <c r="AY112" s="5" t="s">
        <v>10</v>
      </c>
      <c r="AZ112">
        <f t="shared" ref="AZ112:AZ114" si="211">AVERAGE(C112,P112,AB112,AN112)</f>
        <v>18</v>
      </c>
      <c r="BA112">
        <f t="shared" ref="BA112:BA114" si="212">AVERAGE(D112,Q112,AC112,AO112)</f>
        <v>5.666666666666667</v>
      </c>
      <c r="BB112">
        <f t="shared" ref="BB112:BB114" si="213">AVERAGE(E112,R112,AD112,AP112)</f>
        <v>0.66666666666666663</v>
      </c>
      <c r="BC112">
        <f t="shared" ref="BC112:BC114" si="214">AVERAGE(F112,S112,AE112,AQ112)</f>
        <v>3</v>
      </c>
      <c r="BD112">
        <f t="shared" ref="BD112:BD114" si="215">AVERAGE(G112,T112,AF112,AR112)</f>
        <v>1</v>
      </c>
      <c r="BE112">
        <f t="shared" ref="BE112:BE114" si="216">AVERAGE(H112,U112,AG112,AS112)</f>
        <v>0.33333333333333331</v>
      </c>
      <c r="BF112">
        <f t="shared" ref="BF112:BF114" si="217">AVERAGE(I112,V112,AH112,AT112)</f>
        <v>0.33333333333333331</v>
      </c>
      <c r="BG112">
        <f t="shared" ref="BG112:BG114" si="218">AVERAGE(J112,W112,AI112,AU112)</f>
        <v>0</v>
      </c>
      <c r="BH112">
        <f t="shared" ref="BH112:BH114" si="219">SUM(AZ112:BG112)</f>
        <v>29</v>
      </c>
      <c r="BI112">
        <f>AVERAGE(K112, X112, AV112, AJ112 )</f>
        <v>29</v>
      </c>
    </row>
    <row r="113" spans="14:61" ht="15.95">
      <c r="O113" s="5" t="s">
        <v>11</v>
      </c>
      <c r="P113" s="5">
        <v>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>
        <f t="shared" ref="X113:X114" si="220">SUM(P113:W113)</f>
        <v>5</v>
      </c>
      <c r="AA113" s="5" t="s">
        <v>11</v>
      </c>
      <c r="AB113" s="5">
        <v>9</v>
      </c>
      <c r="AC113" s="5">
        <v>1</v>
      </c>
      <c r="AD113" s="5">
        <v>1</v>
      </c>
      <c r="AE113" s="5">
        <v>1</v>
      </c>
      <c r="AF113" s="5">
        <v>1</v>
      </c>
      <c r="AG113" s="5">
        <v>0</v>
      </c>
      <c r="AH113" s="5">
        <v>0</v>
      </c>
      <c r="AI113" s="5">
        <v>0</v>
      </c>
      <c r="AJ113">
        <f t="shared" ref="AJ113:AJ114" si="221">SUM(AB113:AI113)</f>
        <v>13</v>
      </c>
      <c r="AM113" s="5" t="s">
        <v>11</v>
      </c>
      <c r="AN113" s="5">
        <v>4</v>
      </c>
      <c r="AO113" s="5">
        <v>3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>
        <f t="shared" ref="AV113:AV114" si="222">SUM(AN113:AU113)</f>
        <v>7</v>
      </c>
      <c r="AY113" s="5" t="s">
        <v>11</v>
      </c>
      <c r="AZ113">
        <f t="shared" si="211"/>
        <v>6</v>
      </c>
      <c r="BA113">
        <f t="shared" si="212"/>
        <v>1.3333333333333333</v>
      </c>
      <c r="BB113">
        <f t="shared" si="213"/>
        <v>0.33333333333333331</v>
      </c>
      <c r="BC113">
        <f t="shared" si="214"/>
        <v>0.33333333333333331</v>
      </c>
      <c r="BD113">
        <f t="shared" si="215"/>
        <v>0.33333333333333331</v>
      </c>
      <c r="BE113">
        <f t="shared" si="216"/>
        <v>0</v>
      </c>
      <c r="BF113">
        <f t="shared" si="217"/>
        <v>0</v>
      </c>
      <c r="BG113">
        <f t="shared" si="218"/>
        <v>0</v>
      </c>
      <c r="BH113">
        <f t="shared" si="219"/>
        <v>8.3333333333333321</v>
      </c>
      <c r="BI113">
        <f>AVERAGE(K113, X113, AV113, AJ113 )</f>
        <v>8.3333333333333339</v>
      </c>
    </row>
    <row r="114" spans="14:61">
      <c r="O114" t="s">
        <v>12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f t="shared" si="220"/>
        <v>1</v>
      </c>
      <c r="AA114" t="s">
        <v>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f t="shared" si="221"/>
        <v>0</v>
      </c>
      <c r="AM114" t="s">
        <v>12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f t="shared" si="222"/>
        <v>1</v>
      </c>
      <c r="AY114" t="s">
        <v>12</v>
      </c>
      <c r="AZ114">
        <f t="shared" si="211"/>
        <v>0.33333333333333331</v>
      </c>
      <c r="BA114">
        <f t="shared" si="212"/>
        <v>0</v>
      </c>
      <c r="BB114">
        <f t="shared" si="213"/>
        <v>0</v>
      </c>
      <c r="BC114">
        <f t="shared" si="214"/>
        <v>0</v>
      </c>
      <c r="BD114">
        <f t="shared" si="215"/>
        <v>0.33333333333333331</v>
      </c>
      <c r="BE114">
        <f t="shared" si="216"/>
        <v>0</v>
      </c>
      <c r="BF114">
        <f t="shared" si="217"/>
        <v>0</v>
      </c>
      <c r="BG114">
        <f t="shared" si="218"/>
        <v>0</v>
      </c>
      <c r="BH114">
        <f t="shared" si="219"/>
        <v>0.66666666666666663</v>
      </c>
      <c r="BI114">
        <f>AVERAGE(K114, X114, AV114, AJ114 )</f>
        <v>0.66666666666666663</v>
      </c>
    </row>
    <row r="115" spans="14:61" ht="15.95">
      <c r="X115">
        <f>SUM(X112:X114)</f>
        <v>24</v>
      </c>
      <c r="AA115" s="5"/>
      <c r="AC115" s="5"/>
      <c r="AE115" s="5"/>
      <c r="AF115" s="5"/>
      <c r="AG115" s="5"/>
      <c r="AH115" s="5"/>
      <c r="AJ115">
        <f>SUM(AJ112:AJ114)</f>
        <v>49</v>
      </c>
      <c r="AV115">
        <f>SUM(AV112:AV114)</f>
        <v>41</v>
      </c>
      <c r="BH115">
        <f t="shared" si="210"/>
        <v>37.999999999999993</v>
      </c>
      <c r="BI115">
        <f>AVERAGE(K115, X115, AJ115, AV115)</f>
        <v>38</v>
      </c>
    </row>
    <row r="116" spans="14:61" ht="15.95">
      <c r="Z116" t="s">
        <v>20</v>
      </c>
      <c r="AA116" s="5" t="s">
        <v>50</v>
      </c>
      <c r="AB116" t="s">
        <v>25</v>
      </c>
      <c r="AC116" s="5" t="s">
        <v>14</v>
      </c>
      <c r="AD116" t="s">
        <v>4</v>
      </c>
      <c r="AE116" s="5" t="s">
        <v>5</v>
      </c>
      <c r="AF116" s="5" t="s">
        <v>6</v>
      </c>
      <c r="AG116" s="5" t="s">
        <v>7</v>
      </c>
      <c r="AH116" s="5" t="s">
        <v>8</v>
      </c>
      <c r="AI116" t="s">
        <v>9</v>
      </c>
      <c r="AL116" t="s">
        <v>20</v>
      </c>
      <c r="AM116" s="5" t="s">
        <v>50</v>
      </c>
      <c r="AN116" t="s">
        <v>25</v>
      </c>
      <c r="AO116" s="5" t="s">
        <v>14</v>
      </c>
      <c r="AP116" t="s">
        <v>4</v>
      </c>
      <c r="AQ116" s="5" t="s">
        <v>5</v>
      </c>
      <c r="AR116" s="5" t="s">
        <v>6</v>
      </c>
      <c r="AS116" s="5" t="s">
        <v>7</v>
      </c>
      <c r="AT116" s="5" t="s">
        <v>8</v>
      </c>
      <c r="AU116" t="s">
        <v>9</v>
      </c>
      <c r="AX116" t="s">
        <v>26</v>
      </c>
      <c r="AY116" s="5" t="s">
        <v>50</v>
      </c>
      <c r="AZ116" t="s">
        <v>25</v>
      </c>
      <c r="BA116" t="s">
        <v>3</v>
      </c>
      <c r="BB116" t="s">
        <v>4</v>
      </c>
      <c r="BC116" t="s">
        <v>5</v>
      </c>
      <c r="BD116" t="s">
        <v>6</v>
      </c>
      <c r="BE116" t="s">
        <v>7</v>
      </c>
      <c r="BF116" t="s">
        <v>8</v>
      </c>
      <c r="BG116" t="s">
        <v>9</v>
      </c>
    </row>
    <row r="117" spans="14:61" ht="15.95">
      <c r="AA117" s="5" t="s">
        <v>10</v>
      </c>
      <c r="AB117" s="5">
        <v>15</v>
      </c>
      <c r="AC117" s="5">
        <v>0</v>
      </c>
      <c r="AD117" s="5">
        <v>1</v>
      </c>
      <c r="AE117" s="5">
        <v>3</v>
      </c>
      <c r="AF117" s="5">
        <v>0</v>
      </c>
      <c r="AG117" s="5">
        <v>0</v>
      </c>
      <c r="AH117" s="5">
        <v>0</v>
      </c>
      <c r="AI117" s="5">
        <v>1</v>
      </c>
      <c r="AJ117">
        <f>SUM(AB117:AI117)</f>
        <v>20</v>
      </c>
      <c r="AM117" s="5" t="s">
        <v>10</v>
      </c>
      <c r="AN117" s="5">
        <v>14</v>
      </c>
      <c r="AO117" s="5">
        <v>5</v>
      </c>
      <c r="AP117" s="5">
        <v>0</v>
      </c>
      <c r="AQ117" s="5">
        <v>0</v>
      </c>
      <c r="AR117" s="5">
        <v>2</v>
      </c>
      <c r="AS117" s="5">
        <v>0</v>
      </c>
      <c r="AT117" s="5">
        <v>0</v>
      </c>
      <c r="AU117" s="5">
        <v>0</v>
      </c>
      <c r="AV117">
        <f>SUM(AN117:AU117)</f>
        <v>21</v>
      </c>
      <c r="AY117" s="5" t="s">
        <v>10</v>
      </c>
      <c r="AZ117">
        <f t="shared" ref="AZ117:AZ119" si="223">AVERAGE(C117,P117,AB117,AN117)</f>
        <v>14.5</v>
      </c>
      <c r="BA117">
        <f t="shared" ref="BA117:BA119" si="224">AVERAGE(D117,Q117,AC117,AO117)</f>
        <v>2.5</v>
      </c>
      <c r="BB117">
        <f t="shared" ref="BB117:BB119" si="225">AVERAGE(E117,R117,AD117,AP117)</f>
        <v>0.5</v>
      </c>
      <c r="BC117">
        <f t="shared" ref="BC117:BC119" si="226">AVERAGE(F117,S117,AE117,AQ117)</f>
        <v>1.5</v>
      </c>
      <c r="BD117">
        <f t="shared" ref="BD117:BD119" si="227">AVERAGE(G117,T117,AF117,AR117)</f>
        <v>1</v>
      </c>
      <c r="BE117">
        <f t="shared" ref="BE117:BE119" si="228">AVERAGE(H117,U117,AG117,AS117)</f>
        <v>0</v>
      </c>
      <c r="BF117">
        <f t="shared" ref="BF117:BF119" si="229">AVERAGE(I117,V117,AH117,AT117)</f>
        <v>0</v>
      </c>
      <c r="BG117">
        <f t="shared" ref="BG117:BG119" si="230">AVERAGE(J117,W117,AI117,AU117)</f>
        <v>0.5</v>
      </c>
      <c r="BH117">
        <f t="shared" ref="BH117:BH119" si="231">SUM(AZ117:BG117)</f>
        <v>20.5</v>
      </c>
      <c r="BI117">
        <f>AVERAGE(K117, X117, AV117, AJ117 )</f>
        <v>20.5</v>
      </c>
    </row>
    <row r="118" spans="14:61" ht="15.95">
      <c r="AA118" s="5" t="s">
        <v>11</v>
      </c>
      <c r="AB118" s="5">
        <v>13</v>
      </c>
      <c r="AC118" s="5">
        <v>1</v>
      </c>
      <c r="AD118" s="5">
        <v>1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>
        <f t="shared" ref="AJ118:AJ119" si="232">SUM(AB118:AI118)</f>
        <v>15</v>
      </c>
      <c r="AM118" s="5" t="s">
        <v>11</v>
      </c>
      <c r="AN118" s="5">
        <v>2</v>
      </c>
      <c r="AO118" s="5">
        <v>1</v>
      </c>
      <c r="AP118" s="5">
        <v>0</v>
      </c>
      <c r="AQ118" s="5">
        <v>0</v>
      </c>
      <c r="AR118" s="5">
        <v>3</v>
      </c>
      <c r="AS118" s="5">
        <v>0</v>
      </c>
      <c r="AT118" s="5">
        <v>0</v>
      </c>
      <c r="AU118" s="5">
        <v>0</v>
      </c>
      <c r="AV118">
        <f t="shared" ref="AV118:AV119" si="233">SUM(AN118:AU118)</f>
        <v>6</v>
      </c>
      <c r="AY118" s="5" t="s">
        <v>11</v>
      </c>
      <c r="AZ118">
        <f t="shared" si="223"/>
        <v>7.5</v>
      </c>
      <c r="BA118">
        <f t="shared" si="224"/>
        <v>1</v>
      </c>
      <c r="BB118">
        <f t="shared" si="225"/>
        <v>0.5</v>
      </c>
      <c r="BC118">
        <f t="shared" si="226"/>
        <v>0</v>
      </c>
      <c r="BD118">
        <f t="shared" si="227"/>
        <v>1.5</v>
      </c>
      <c r="BE118">
        <f t="shared" si="228"/>
        <v>0</v>
      </c>
      <c r="BF118">
        <f t="shared" si="229"/>
        <v>0</v>
      </c>
      <c r="BG118">
        <f t="shared" si="230"/>
        <v>0</v>
      </c>
      <c r="BH118">
        <f t="shared" si="231"/>
        <v>10.5</v>
      </c>
      <c r="BI118">
        <f>AVERAGE(K118, X118, AV118, AJ118 )</f>
        <v>10.5</v>
      </c>
    </row>
    <row r="119" spans="14:61">
      <c r="AA119" t="s">
        <v>12</v>
      </c>
      <c r="AB119">
        <v>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f t="shared" si="232"/>
        <v>5</v>
      </c>
      <c r="AM119" t="s">
        <v>12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f t="shared" si="233"/>
        <v>0</v>
      </c>
      <c r="AY119" t="s">
        <v>12</v>
      </c>
      <c r="AZ119">
        <f t="shared" si="223"/>
        <v>2.5</v>
      </c>
      <c r="BA119">
        <f t="shared" si="224"/>
        <v>0</v>
      </c>
      <c r="BB119">
        <f t="shared" si="225"/>
        <v>0</v>
      </c>
      <c r="BC119">
        <f t="shared" si="226"/>
        <v>0</v>
      </c>
      <c r="BD119">
        <f t="shared" si="227"/>
        <v>0</v>
      </c>
      <c r="BE119">
        <f t="shared" si="228"/>
        <v>0</v>
      </c>
      <c r="BF119">
        <f t="shared" si="229"/>
        <v>0</v>
      </c>
      <c r="BG119">
        <f t="shared" si="230"/>
        <v>0</v>
      </c>
      <c r="BH119">
        <f t="shared" si="231"/>
        <v>2.5</v>
      </c>
      <c r="BI119">
        <f>AVERAGE(K119, X119, AV119, AJ119 )</f>
        <v>2.5</v>
      </c>
    </row>
    <row r="120" spans="14:61">
      <c r="AJ120">
        <f>SUM(AJ117:AJ119)</f>
        <v>40</v>
      </c>
      <c r="AV120">
        <f>SUM(AV117:AV119)</f>
        <v>27</v>
      </c>
      <c r="BH120">
        <f t="shared" si="210"/>
        <v>33.5</v>
      </c>
      <c r="BI120">
        <f>AVERAGE(K120, X120, AJ120, AV120)</f>
        <v>33.5</v>
      </c>
    </row>
    <row r="121" spans="14:61" ht="15.95">
      <c r="Z121" t="s">
        <v>20</v>
      </c>
      <c r="AA121" s="5" t="s">
        <v>51</v>
      </c>
      <c r="AB121" t="s">
        <v>25</v>
      </c>
      <c r="AC121" s="5" t="s">
        <v>14</v>
      </c>
      <c r="AD121" t="s">
        <v>4</v>
      </c>
      <c r="AE121" s="5" t="s">
        <v>5</v>
      </c>
      <c r="AF121" s="5" t="s">
        <v>6</v>
      </c>
      <c r="AG121" s="5" t="s">
        <v>7</v>
      </c>
      <c r="AH121" s="5" t="s">
        <v>8</v>
      </c>
      <c r="AI121" t="s">
        <v>9</v>
      </c>
      <c r="AL121" t="s">
        <v>20</v>
      </c>
      <c r="AM121" s="5" t="s">
        <v>51</v>
      </c>
      <c r="AN121" t="s">
        <v>25</v>
      </c>
      <c r="AO121" s="5" t="s">
        <v>14</v>
      </c>
      <c r="AP121" t="s">
        <v>4</v>
      </c>
      <c r="AQ121" s="5" t="s">
        <v>5</v>
      </c>
      <c r="AR121" s="5" t="s">
        <v>6</v>
      </c>
      <c r="AS121" s="5" t="s">
        <v>7</v>
      </c>
      <c r="AT121" s="5" t="s">
        <v>8</v>
      </c>
      <c r="AU121" t="s">
        <v>9</v>
      </c>
      <c r="AX121" t="s">
        <v>26</v>
      </c>
      <c r="AY121" s="5" t="s">
        <v>51</v>
      </c>
      <c r="AZ121" t="s">
        <v>25</v>
      </c>
      <c r="BA121" t="s">
        <v>3</v>
      </c>
      <c r="BB121" t="s">
        <v>4</v>
      </c>
      <c r="BC121" t="s">
        <v>5</v>
      </c>
      <c r="BD121" t="s">
        <v>6</v>
      </c>
      <c r="BE121" t="s">
        <v>7</v>
      </c>
      <c r="BF121" t="s">
        <v>8</v>
      </c>
      <c r="BG121" t="s">
        <v>9</v>
      </c>
    </row>
    <row r="122" spans="14:61" ht="15.95">
      <c r="AA122" s="5" t="s">
        <v>10</v>
      </c>
      <c r="AB122" s="5">
        <v>63</v>
      </c>
      <c r="AC122" s="5">
        <v>4</v>
      </c>
      <c r="AD122" s="5">
        <v>2</v>
      </c>
      <c r="AE122" s="5">
        <v>6</v>
      </c>
      <c r="AF122" s="5">
        <v>0</v>
      </c>
      <c r="AG122" s="5">
        <v>0</v>
      </c>
      <c r="AH122" s="5">
        <v>1</v>
      </c>
      <c r="AI122" s="5">
        <v>0</v>
      </c>
      <c r="AJ122">
        <f>SUM(AB122:AI122)</f>
        <v>76</v>
      </c>
      <c r="AM122" s="5" t="s">
        <v>10</v>
      </c>
      <c r="AN122" s="5">
        <v>57</v>
      </c>
      <c r="AO122" s="5">
        <v>7</v>
      </c>
      <c r="AP122" s="5">
        <v>0</v>
      </c>
      <c r="AQ122" s="5">
        <v>2</v>
      </c>
      <c r="AR122" s="5">
        <v>1</v>
      </c>
      <c r="AS122" s="5">
        <v>1</v>
      </c>
      <c r="AT122" s="5">
        <v>1</v>
      </c>
      <c r="AU122" s="5">
        <v>0</v>
      </c>
      <c r="AV122">
        <f>SUM(AN122:AU122)</f>
        <v>69</v>
      </c>
      <c r="AY122" s="5" t="s">
        <v>10</v>
      </c>
      <c r="AZ122">
        <f t="shared" ref="AZ122:AZ124" si="234">AVERAGE(C122,P122,AB122,AN122)</f>
        <v>60</v>
      </c>
      <c r="BA122">
        <f t="shared" ref="BA122:BA124" si="235">AVERAGE(D122,Q122,AC122,AO122)</f>
        <v>5.5</v>
      </c>
      <c r="BB122">
        <f t="shared" ref="BB122:BB124" si="236">AVERAGE(E122,R122,AD122,AP122)</f>
        <v>1</v>
      </c>
      <c r="BC122">
        <f t="shared" ref="BC122:BC124" si="237">AVERAGE(F122,S122,AE122,AQ122)</f>
        <v>4</v>
      </c>
      <c r="BD122">
        <f t="shared" ref="BD122:BD124" si="238">AVERAGE(G122,T122,AF122,AR122)</f>
        <v>0.5</v>
      </c>
      <c r="BE122">
        <f t="shared" ref="BE122:BE124" si="239">AVERAGE(H122,U122,AG122,AS122)</f>
        <v>0.5</v>
      </c>
      <c r="BF122">
        <f t="shared" ref="BF122:BF124" si="240">AVERAGE(I122,V122,AH122,AT122)</f>
        <v>1</v>
      </c>
      <c r="BG122">
        <f t="shared" ref="BG122:BG124" si="241">AVERAGE(J122,W122,AI122,AU122)</f>
        <v>0</v>
      </c>
      <c r="BH122">
        <f t="shared" ref="BH122:BH124" si="242">SUM(AZ122:BG122)</f>
        <v>72.5</v>
      </c>
      <c r="BI122">
        <f>AVERAGE(K122, X122, AV122, AJ122 )</f>
        <v>72.5</v>
      </c>
    </row>
    <row r="123" spans="14:61" ht="15.95">
      <c r="AA123" s="5" t="s">
        <v>11</v>
      </c>
      <c r="AB123" s="5">
        <v>4</v>
      </c>
      <c r="AC123" s="5">
        <v>1</v>
      </c>
      <c r="AD123" s="5">
        <v>2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>
        <f t="shared" ref="AJ123:AJ124" si="243">SUM(AB123:AI123)</f>
        <v>7</v>
      </c>
      <c r="AM123" s="5" t="s">
        <v>11</v>
      </c>
      <c r="AN123" s="5">
        <v>34</v>
      </c>
      <c r="AO123" s="5">
        <v>2</v>
      </c>
      <c r="AP123" s="5">
        <v>0</v>
      </c>
      <c r="AQ123" s="5">
        <v>0</v>
      </c>
      <c r="AR123" s="5">
        <v>5</v>
      </c>
      <c r="AS123" s="5">
        <v>0</v>
      </c>
      <c r="AT123" s="5">
        <v>0</v>
      </c>
      <c r="AU123" s="5">
        <v>0</v>
      </c>
      <c r="AV123">
        <f t="shared" ref="AV123:AV124" si="244">SUM(AN123:AU123)</f>
        <v>41</v>
      </c>
      <c r="AY123" s="5" t="s">
        <v>11</v>
      </c>
      <c r="AZ123">
        <f t="shared" si="234"/>
        <v>19</v>
      </c>
      <c r="BA123">
        <f t="shared" si="235"/>
        <v>1.5</v>
      </c>
      <c r="BB123">
        <f t="shared" si="236"/>
        <v>1</v>
      </c>
      <c r="BC123">
        <f t="shared" si="237"/>
        <v>0</v>
      </c>
      <c r="BD123">
        <f t="shared" si="238"/>
        <v>2.5</v>
      </c>
      <c r="BE123">
        <f t="shared" si="239"/>
        <v>0</v>
      </c>
      <c r="BF123">
        <f t="shared" si="240"/>
        <v>0</v>
      </c>
      <c r="BG123">
        <f t="shared" si="241"/>
        <v>0</v>
      </c>
      <c r="BH123">
        <f t="shared" si="242"/>
        <v>24</v>
      </c>
      <c r="BI123">
        <f>AVERAGE(K123, X123, AV123, AJ123 )</f>
        <v>24</v>
      </c>
    </row>
    <row r="124" spans="14:61">
      <c r="AA124" t="s">
        <v>12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f t="shared" si="243"/>
        <v>8</v>
      </c>
      <c r="AM124" t="s">
        <v>12</v>
      </c>
      <c r="AN124">
        <v>8</v>
      </c>
      <c r="AO124">
        <v>0</v>
      </c>
      <c r="AP124">
        <v>0</v>
      </c>
      <c r="AQ124">
        <v>0</v>
      </c>
      <c r="AR124">
        <v>35</v>
      </c>
      <c r="AS124">
        <v>0</v>
      </c>
      <c r="AT124">
        <v>0</v>
      </c>
      <c r="AU124">
        <v>0</v>
      </c>
      <c r="AV124">
        <f t="shared" si="244"/>
        <v>43</v>
      </c>
      <c r="AY124" t="s">
        <v>12</v>
      </c>
      <c r="AZ124">
        <f t="shared" si="234"/>
        <v>8</v>
      </c>
      <c r="BA124">
        <f t="shared" si="235"/>
        <v>0</v>
      </c>
      <c r="BB124">
        <f t="shared" si="236"/>
        <v>0</v>
      </c>
      <c r="BC124">
        <f t="shared" si="237"/>
        <v>0</v>
      </c>
      <c r="BD124">
        <f t="shared" si="238"/>
        <v>17.5</v>
      </c>
      <c r="BE124">
        <f t="shared" si="239"/>
        <v>0</v>
      </c>
      <c r="BF124">
        <f t="shared" si="240"/>
        <v>0</v>
      </c>
      <c r="BG124">
        <f t="shared" si="241"/>
        <v>0</v>
      </c>
      <c r="BH124">
        <f t="shared" si="242"/>
        <v>25.5</v>
      </c>
      <c r="BI124">
        <f>AVERAGE(K124, X124, AV124, AJ124 )</f>
        <v>25.5</v>
      </c>
    </row>
    <row r="125" spans="14:61">
      <c r="AJ125">
        <f>SUM(AJ122:AJ124)</f>
        <v>91</v>
      </c>
      <c r="AV125">
        <f>SUM(AV122:AV124)</f>
        <v>153</v>
      </c>
      <c r="BH125">
        <f t="shared" si="210"/>
        <v>122</v>
      </c>
      <c r="BI125">
        <f>AVERAGE(K125, X125, AJ125, AV125)</f>
        <v>122</v>
      </c>
    </row>
    <row r="126" spans="14:61" ht="15.95">
      <c r="N126" t="s">
        <v>13</v>
      </c>
      <c r="O126" s="5" t="s">
        <v>52</v>
      </c>
      <c r="P126" t="s">
        <v>25</v>
      </c>
      <c r="Q126" s="5" t="s">
        <v>14</v>
      </c>
      <c r="R126" t="s">
        <v>4</v>
      </c>
      <c r="S126" s="5" t="s">
        <v>5</v>
      </c>
      <c r="T126" s="5" t="s">
        <v>6</v>
      </c>
      <c r="U126" s="5" t="s">
        <v>7</v>
      </c>
      <c r="V126" s="5" t="s">
        <v>8</v>
      </c>
      <c r="W126" t="s">
        <v>9</v>
      </c>
      <c r="Z126" t="s">
        <v>20</v>
      </c>
      <c r="AA126" s="5" t="s">
        <v>52</v>
      </c>
      <c r="AB126" t="s">
        <v>25</v>
      </c>
      <c r="AC126" s="5" t="s">
        <v>14</v>
      </c>
      <c r="AD126" t="s">
        <v>4</v>
      </c>
      <c r="AE126" s="5" t="s">
        <v>5</v>
      </c>
      <c r="AF126" s="5" t="s">
        <v>6</v>
      </c>
      <c r="AG126" s="5" t="s">
        <v>7</v>
      </c>
      <c r="AH126" s="5" t="s">
        <v>8</v>
      </c>
      <c r="AI126" t="s">
        <v>9</v>
      </c>
      <c r="AL126" t="s">
        <v>20</v>
      </c>
      <c r="AM126" s="5" t="s">
        <v>52</v>
      </c>
      <c r="AN126" t="s">
        <v>25</v>
      </c>
      <c r="AO126" s="5" t="s">
        <v>14</v>
      </c>
      <c r="AP126" t="s">
        <v>4</v>
      </c>
      <c r="AQ126" s="5" t="s">
        <v>5</v>
      </c>
      <c r="AR126" s="5" t="s">
        <v>6</v>
      </c>
      <c r="AS126" s="5" t="s">
        <v>7</v>
      </c>
      <c r="AT126" s="5" t="s">
        <v>8</v>
      </c>
      <c r="AU126" t="s">
        <v>9</v>
      </c>
      <c r="AX126" t="s">
        <v>26</v>
      </c>
      <c r="AY126" s="5" t="s">
        <v>52</v>
      </c>
      <c r="AZ126" t="s">
        <v>25</v>
      </c>
      <c r="BA126" t="s">
        <v>3</v>
      </c>
      <c r="BB126" t="s">
        <v>4</v>
      </c>
      <c r="BC126" t="s">
        <v>5</v>
      </c>
      <c r="BD126" t="s">
        <v>6</v>
      </c>
      <c r="BE126" t="s">
        <v>7</v>
      </c>
      <c r="BF126" t="s">
        <v>8</v>
      </c>
      <c r="BG126" t="s">
        <v>9</v>
      </c>
    </row>
    <row r="127" spans="14:61" ht="15.95">
      <c r="O127" s="5" t="s">
        <v>10</v>
      </c>
      <c r="P127" s="5">
        <v>66</v>
      </c>
      <c r="Q127" s="5">
        <v>8</v>
      </c>
      <c r="R127" s="5">
        <v>2</v>
      </c>
      <c r="S127" s="5">
        <v>8</v>
      </c>
      <c r="T127" s="5">
        <v>3</v>
      </c>
      <c r="U127" s="5">
        <v>0</v>
      </c>
      <c r="V127" s="5">
        <v>3</v>
      </c>
      <c r="W127" s="5">
        <v>1</v>
      </c>
      <c r="X127">
        <f>SUM(P127:W127)</f>
        <v>91</v>
      </c>
      <c r="AA127" s="5" t="s">
        <v>10</v>
      </c>
      <c r="AB127">
        <v>108</v>
      </c>
      <c r="AC127">
        <v>6</v>
      </c>
      <c r="AD127">
        <v>0</v>
      </c>
      <c r="AE127">
        <v>17</v>
      </c>
      <c r="AF127">
        <v>0</v>
      </c>
      <c r="AG127">
        <v>0</v>
      </c>
      <c r="AH127">
        <v>2</v>
      </c>
      <c r="AI127">
        <v>2</v>
      </c>
      <c r="AJ127">
        <f>SUM(AB127:AI127)</f>
        <v>135</v>
      </c>
      <c r="AM127" s="5" t="s">
        <v>10</v>
      </c>
      <c r="AN127" s="5">
        <v>103</v>
      </c>
      <c r="AO127" s="5">
        <v>13</v>
      </c>
      <c r="AP127" s="5">
        <v>0</v>
      </c>
      <c r="AQ127" s="5">
        <v>7</v>
      </c>
      <c r="AR127" s="5">
        <v>1</v>
      </c>
      <c r="AS127" s="5">
        <v>0</v>
      </c>
      <c r="AT127" s="5">
        <v>0</v>
      </c>
      <c r="AU127" s="5">
        <v>1</v>
      </c>
      <c r="AV127">
        <f>SUM(AN127:AU127)</f>
        <v>125</v>
      </c>
      <c r="AY127" s="5" t="s">
        <v>10</v>
      </c>
      <c r="AZ127">
        <f t="shared" ref="AZ127:AZ129" si="245">AVERAGE(C127,P127,AB127,AN127)</f>
        <v>92.333333333333329</v>
      </c>
      <c r="BA127">
        <f t="shared" ref="BA127:BA129" si="246">AVERAGE(D127,Q127,AC127,AO127)</f>
        <v>9</v>
      </c>
      <c r="BB127">
        <f t="shared" ref="BB127:BB129" si="247">AVERAGE(E127,R127,AD127,AP127)</f>
        <v>0.66666666666666663</v>
      </c>
      <c r="BC127">
        <f t="shared" ref="BC127:BC129" si="248">AVERAGE(F127,S127,AE127,AQ127)</f>
        <v>10.666666666666666</v>
      </c>
      <c r="BD127">
        <f t="shared" ref="BD127:BD129" si="249">AVERAGE(G127,T127,AF127,AR127)</f>
        <v>1.3333333333333333</v>
      </c>
      <c r="BE127">
        <f t="shared" ref="BE127:BE129" si="250">AVERAGE(H127,U127,AG127,AS127)</f>
        <v>0</v>
      </c>
      <c r="BF127">
        <f t="shared" ref="BF127:BF129" si="251">AVERAGE(I127,V127,AH127,AT127)</f>
        <v>1.6666666666666667</v>
      </c>
      <c r="BG127">
        <f t="shared" ref="BG127:BG129" si="252">AVERAGE(J127,W127,AI127,AU127)</f>
        <v>1.3333333333333333</v>
      </c>
      <c r="BH127">
        <f t="shared" ref="BH127:BH129" si="253">SUM(AZ127:BG127)</f>
        <v>117</v>
      </c>
      <c r="BI127">
        <f>AVERAGE(K127, X127, AV127, AJ127 )</f>
        <v>117</v>
      </c>
    </row>
    <row r="128" spans="14:61" ht="15.95">
      <c r="O128" s="5" t="s">
        <v>11</v>
      </c>
      <c r="P128" s="5">
        <v>7</v>
      </c>
      <c r="Q128" s="5">
        <v>0</v>
      </c>
      <c r="R128" s="5">
        <v>13</v>
      </c>
      <c r="S128" s="5">
        <v>0</v>
      </c>
      <c r="T128" s="5">
        <v>2</v>
      </c>
      <c r="U128" s="5">
        <v>0</v>
      </c>
      <c r="V128" s="5">
        <v>0</v>
      </c>
      <c r="W128" s="5">
        <v>0</v>
      </c>
      <c r="X128">
        <f>SUM(P128:W128)</f>
        <v>22</v>
      </c>
      <c r="AA128" s="5" t="s">
        <v>11</v>
      </c>
      <c r="AB128">
        <v>19</v>
      </c>
      <c r="AC128">
        <v>0</v>
      </c>
      <c r="AD128">
        <v>5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f t="shared" ref="AJ128:AJ129" si="254">SUM(AB128:AI128)</f>
        <v>26</v>
      </c>
      <c r="AM128" s="5" t="s">
        <v>11</v>
      </c>
      <c r="AN128" s="5">
        <v>20</v>
      </c>
      <c r="AO128" s="5">
        <v>2</v>
      </c>
      <c r="AP128" s="5">
        <v>1</v>
      </c>
      <c r="AQ128" s="5">
        <v>0</v>
      </c>
      <c r="AR128" s="5">
        <v>2</v>
      </c>
      <c r="AS128" s="5">
        <v>0</v>
      </c>
      <c r="AT128" s="5">
        <v>0</v>
      </c>
      <c r="AU128" s="5">
        <v>0</v>
      </c>
      <c r="AV128">
        <f t="shared" ref="AV128:AV129" si="255">SUM(AN128:AU128)</f>
        <v>25</v>
      </c>
      <c r="AY128" s="5" t="s">
        <v>11</v>
      </c>
      <c r="AZ128">
        <f t="shared" si="245"/>
        <v>15.333333333333334</v>
      </c>
      <c r="BA128">
        <f t="shared" si="246"/>
        <v>0.66666666666666663</v>
      </c>
      <c r="BB128">
        <f t="shared" si="247"/>
        <v>6.333333333333333</v>
      </c>
      <c r="BC128">
        <f t="shared" si="248"/>
        <v>0.33333333333333331</v>
      </c>
      <c r="BD128">
        <f t="shared" si="249"/>
        <v>1.3333333333333333</v>
      </c>
      <c r="BE128">
        <f t="shared" si="250"/>
        <v>0.33333333333333331</v>
      </c>
      <c r="BF128">
        <f t="shared" si="251"/>
        <v>0</v>
      </c>
      <c r="BG128">
        <f t="shared" si="252"/>
        <v>0</v>
      </c>
      <c r="BH128">
        <f t="shared" si="253"/>
        <v>24.333333333333329</v>
      </c>
      <c r="BI128">
        <f>AVERAGE(K128, X128, AV128, AJ128 )</f>
        <v>24.333333333333332</v>
      </c>
    </row>
    <row r="129" spans="15:61">
      <c r="O129" t="s">
        <v>12</v>
      </c>
      <c r="P129">
        <v>6</v>
      </c>
      <c r="Q129">
        <v>0</v>
      </c>
      <c r="R129">
        <v>0</v>
      </c>
      <c r="S129">
        <v>0</v>
      </c>
      <c r="T129">
        <v>4</v>
      </c>
      <c r="U129">
        <v>0</v>
      </c>
      <c r="V129">
        <v>0</v>
      </c>
      <c r="W129">
        <v>0</v>
      </c>
      <c r="X129">
        <f>SUM(P129:W129)</f>
        <v>10</v>
      </c>
      <c r="AA129" t="s">
        <v>12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254"/>
        <v>3</v>
      </c>
      <c r="AM129" t="s">
        <v>12</v>
      </c>
      <c r="AN129">
        <v>5</v>
      </c>
      <c r="AO129">
        <v>0</v>
      </c>
      <c r="AP129">
        <v>0</v>
      </c>
      <c r="AQ129">
        <v>0</v>
      </c>
      <c r="AR129">
        <v>18</v>
      </c>
      <c r="AS129">
        <v>0</v>
      </c>
      <c r="AT129">
        <v>0</v>
      </c>
      <c r="AU129">
        <v>0</v>
      </c>
      <c r="AV129">
        <f t="shared" si="255"/>
        <v>23</v>
      </c>
      <c r="AY129" t="s">
        <v>12</v>
      </c>
      <c r="AZ129">
        <f t="shared" si="245"/>
        <v>4.666666666666667</v>
      </c>
      <c r="BA129">
        <f t="shared" si="246"/>
        <v>0</v>
      </c>
      <c r="BB129">
        <f t="shared" si="247"/>
        <v>0</v>
      </c>
      <c r="BC129">
        <f t="shared" si="248"/>
        <v>0</v>
      </c>
      <c r="BD129">
        <f t="shared" si="249"/>
        <v>7.333333333333333</v>
      </c>
      <c r="BE129">
        <f t="shared" si="250"/>
        <v>0</v>
      </c>
      <c r="BF129">
        <f t="shared" si="251"/>
        <v>0</v>
      </c>
      <c r="BG129">
        <f t="shared" si="252"/>
        <v>0</v>
      </c>
      <c r="BH129">
        <f t="shared" si="253"/>
        <v>12</v>
      </c>
      <c r="BI129">
        <f>AVERAGE(K129, X129, AV129, AJ129 )</f>
        <v>12</v>
      </c>
    </row>
    <row r="130" spans="15:61">
      <c r="X130">
        <f>SUM(X127:X129)</f>
        <v>123</v>
      </c>
      <c r="AJ130">
        <f>SUM(AJ127:AJ129)</f>
        <v>164</v>
      </c>
      <c r="AV130">
        <f>SUM(AV127:AV129)</f>
        <v>173</v>
      </c>
      <c r="BH130">
        <f t="shared" si="210"/>
        <v>153.33333333333331</v>
      </c>
      <c r="BI130">
        <f>AVERAGE(K130, X130, AJ130, AV130)</f>
        <v>153.33333333333334</v>
      </c>
    </row>
    <row r="131" spans="15:61" ht="15.95">
      <c r="Z131" t="s">
        <v>20</v>
      </c>
      <c r="AA131" s="5" t="s">
        <v>53</v>
      </c>
      <c r="AB131" t="s">
        <v>25</v>
      </c>
      <c r="AC131" s="5" t="s">
        <v>14</v>
      </c>
      <c r="AD131" t="s">
        <v>4</v>
      </c>
      <c r="AE131" s="5" t="s">
        <v>5</v>
      </c>
      <c r="AF131" s="5" t="s">
        <v>6</v>
      </c>
      <c r="AG131" s="5" t="s">
        <v>7</v>
      </c>
      <c r="AH131" s="5" t="s">
        <v>8</v>
      </c>
      <c r="AI131" t="s">
        <v>9</v>
      </c>
      <c r="AL131" t="s">
        <v>20</v>
      </c>
      <c r="AM131" s="5" t="s">
        <v>53</v>
      </c>
      <c r="AN131" t="s">
        <v>25</v>
      </c>
      <c r="AO131" s="5" t="s">
        <v>14</v>
      </c>
      <c r="AP131" t="s">
        <v>4</v>
      </c>
      <c r="AQ131" s="5" t="s">
        <v>5</v>
      </c>
      <c r="AR131" s="5" t="s">
        <v>6</v>
      </c>
      <c r="AS131" s="5" t="s">
        <v>7</v>
      </c>
      <c r="AT131" s="5" t="s">
        <v>8</v>
      </c>
      <c r="AU131" t="s">
        <v>9</v>
      </c>
      <c r="AX131" t="s">
        <v>26</v>
      </c>
      <c r="AY131" s="5" t="s">
        <v>53</v>
      </c>
      <c r="AZ131" t="s">
        <v>25</v>
      </c>
      <c r="BA131" t="s">
        <v>3</v>
      </c>
      <c r="BB131" t="s">
        <v>4</v>
      </c>
      <c r="BC131" t="s">
        <v>5</v>
      </c>
      <c r="BD131" t="s">
        <v>6</v>
      </c>
      <c r="BE131" t="s">
        <v>7</v>
      </c>
      <c r="BF131" t="s">
        <v>8</v>
      </c>
      <c r="BG131" t="s">
        <v>9</v>
      </c>
    </row>
    <row r="132" spans="15:61" ht="15.95">
      <c r="AA132" s="5" t="s">
        <v>10</v>
      </c>
      <c r="AB132">
        <v>68</v>
      </c>
      <c r="AC132">
        <v>6</v>
      </c>
      <c r="AD132">
        <v>1</v>
      </c>
      <c r="AE132">
        <v>7</v>
      </c>
      <c r="AF132">
        <v>0</v>
      </c>
      <c r="AG132">
        <v>2</v>
      </c>
      <c r="AH132">
        <v>1</v>
      </c>
      <c r="AI132">
        <v>1</v>
      </c>
      <c r="AJ132">
        <f>SUM(AB132:AI132)</f>
        <v>86</v>
      </c>
      <c r="AM132" s="5" t="s">
        <v>10</v>
      </c>
      <c r="AN132" s="5">
        <v>56</v>
      </c>
      <c r="AO132" s="5">
        <v>5</v>
      </c>
      <c r="AP132" s="5">
        <v>0</v>
      </c>
      <c r="AQ132" s="5">
        <v>2</v>
      </c>
      <c r="AR132" s="5">
        <v>3</v>
      </c>
      <c r="AS132" s="5">
        <v>1</v>
      </c>
      <c r="AT132" s="5">
        <v>1</v>
      </c>
      <c r="AU132" s="5">
        <v>0</v>
      </c>
      <c r="AV132">
        <f>SUM(AN132:AU132)</f>
        <v>68</v>
      </c>
      <c r="AY132" s="5" t="s">
        <v>10</v>
      </c>
      <c r="AZ132">
        <f t="shared" ref="AZ132:AZ134" si="256">AVERAGE(C132,P132,AB132,AN132)</f>
        <v>62</v>
      </c>
      <c r="BA132">
        <f t="shared" ref="BA132:BA134" si="257">AVERAGE(D132,Q132,AC132,AO132)</f>
        <v>5.5</v>
      </c>
      <c r="BB132">
        <f t="shared" ref="BB132:BB134" si="258">AVERAGE(E132,R132,AD132,AP132)</f>
        <v>0.5</v>
      </c>
      <c r="BC132">
        <f t="shared" ref="BC132:BC134" si="259">AVERAGE(F132,S132,AE132,AQ132)</f>
        <v>4.5</v>
      </c>
      <c r="BD132">
        <f t="shared" ref="BD132:BD134" si="260">AVERAGE(G132,T132,AF132,AR132)</f>
        <v>1.5</v>
      </c>
      <c r="BE132">
        <f t="shared" ref="BE132:BE134" si="261">AVERAGE(H132,U132,AG132,AS132)</f>
        <v>1.5</v>
      </c>
      <c r="BF132">
        <f t="shared" ref="BF132:BF134" si="262">AVERAGE(I132,V132,AH132,AT132)</f>
        <v>1</v>
      </c>
      <c r="BG132">
        <f t="shared" ref="BG132:BG134" si="263">AVERAGE(J132,W132,AI132,AU132)</f>
        <v>0.5</v>
      </c>
      <c r="BH132">
        <f t="shared" ref="BH132:BH134" si="264">SUM(AZ132:BG132)</f>
        <v>77</v>
      </c>
      <c r="BI132">
        <f>AVERAGE(K132, X132, AV132, AJ132 )</f>
        <v>77</v>
      </c>
    </row>
    <row r="133" spans="15:61" ht="15.95">
      <c r="AA133" s="5" t="s">
        <v>11</v>
      </c>
      <c r="AB133">
        <v>24</v>
      </c>
      <c r="AC133">
        <v>1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f t="shared" ref="AJ133:AJ134" si="265">SUM(AB133:AI133)</f>
        <v>29</v>
      </c>
      <c r="AM133" s="5" t="s">
        <v>11</v>
      </c>
      <c r="AN133" s="5">
        <v>12</v>
      </c>
      <c r="AO133" s="5">
        <v>2</v>
      </c>
      <c r="AP133" s="5">
        <v>0</v>
      </c>
      <c r="AQ133" s="5">
        <v>0</v>
      </c>
      <c r="AR133" s="5">
        <v>1</v>
      </c>
      <c r="AS133" s="5">
        <v>0</v>
      </c>
      <c r="AT133" s="5">
        <v>0</v>
      </c>
      <c r="AU133" s="5">
        <v>0</v>
      </c>
      <c r="AV133">
        <f t="shared" ref="AV133:AV134" si="266">SUM(AN133:AU133)</f>
        <v>15</v>
      </c>
      <c r="AY133" s="5" t="s">
        <v>11</v>
      </c>
      <c r="AZ133">
        <f t="shared" si="256"/>
        <v>18</v>
      </c>
      <c r="BA133">
        <f t="shared" si="257"/>
        <v>1.5</v>
      </c>
      <c r="BB133">
        <f t="shared" si="258"/>
        <v>2</v>
      </c>
      <c r="BC133">
        <f t="shared" si="259"/>
        <v>0</v>
      </c>
      <c r="BD133">
        <f t="shared" si="260"/>
        <v>0.5</v>
      </c>
      <c r="BE133">
        <f t="shared" si="261"/>
        <v>0</v>
      </c>
      <c r="BF133">
        <f t="shared" si="262"/>
        <v>0</v>
      </c>
      <c r="BG133">
        <f t="shared" si="263"/>
        <v>0</v>
      </c>
      <c r="BH133">
        <f t="shared" si="264"/>
        <v>22</v>
      </c>
      <c r="BI133">
        <f>AVERAGE(K133, X133, AV133, AJ133 )</f>
        <v>22</v>
      </c>
    </row>
    <row r="134" spans="15:61">
      <c r="AA134" t="s">
        <v>12</v>
      </c>
      <c r="AB134">
        <v>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f t="shared" si="265"/>
        <v>9</v>
      </c>
      <c r="AM134" t="s">
        <v>12</v>
      </c>
      <c r="AN134">
        <v>10</v>
      </c>
      <c r="AO134">
        <v>0</v>
      </c>
      <c r="AP134">
        <v>0</v>
      </c>
      <c r="AQ134">
        <v>0</v>
      </c>
      <c r="AR134">
        <v>14</v>
      </c>
      <c r="AS134">
        <v>0</v>
      </c>
      <c r="AT134">
        <v>0</v>
      </c>
      <c r="AU134">
        <v>0</v>
      </c>
      <c r="AV134">
        <f t="shared" si="266"/>
        <v>24</v>
      </c>
      <c r="AY134" t="s">
        <v>12</v>
      </c>
      <c r="AZ134">
        <f t="shared" si="256"/>
        <v>9.5</v>
      </c>
      <c r="BA134">
        <f t="shared" si="257"/>
        <v>0</v>
      </c>
      <c r="BB134">
        <f t="shared" si="258"/>
        <v>0</v>
      </c>
      <c r="BC134">
        <f t="shared" si="259"/>
        <v>0</v>
      </c>
      <c r="BD134">
        <f t="shared" si="260"/>
        <v>7</v>
      </c>
      <c r="BE134">
        <f t="shared" si="261"/>
        <v>0</v>
      </c>
      <c r="BF134">
        <f t="shared" si="262"/>
        <v>0</v>
      </c>
      <c r="BG134">
        <f t="shared" si="263"/>
        <v>0</v>
      </c>
      <c r="BH134">
        <f t="shared" si="264"/>
        <v>16.5</v>
      </c>
      <c r="BI134">
        <f>AVERAGE(K134, X134, AV134, AJ134 )</f>
        <v>16.5</v>
      </c>
    </row>
    <row r="135" spans="15:61">
      <c r="AJ135">
        <f>SUM(AJ132:AJ134)</f>
        <v>124</v>
      </c>
      <c r="AV135">
        <f>SUM(AV132:AV134)</f>
        <v>107</v>
      </c>
      <c r="BH135">
        <f t="shared" si="210"/>
        <v>115.5</v>
      </c>
      <c r="BI135">
        <f>AVERAGE(K135, X135, AJ135, AV135)</f>
        <v>115.5</v>
      </c>
    </row>
    <row r="136" spans="15:61" ht="15.95">
      <c r="AA136" s="5"/>
      <c r="AM136" s="5"/>
      <c r="AX136" t="s">
        <v>26</v>
      </c>
      <c r="AY136" s="5" t="s">
        <v>54</v>
      </c>
      <c r="AZ136" t="s">
        <v>25</v>
      </c>
      <c r="BA136" t="s">
        <v>3</v>
      </c>
      <c r="BB136" t="s">
        <v>4</v>
      </c>
      <c r="BC136" t="s">
        <v>5</v>
      </c>
      <c r="BD136" t="s">
        <v>6</v>
      </c>
      <c r="BE136" t="s">
        <v>7</v>
      </c>
      <c r="BF136" t="s">
        <v>8</v>
      </c>
      <c r="BG136" t="s">
        <v>9</v>
      </c>
    </row>
    <row r="137" spans="15:61" ht="15.95">
      <c r="AA137" s="5"/>
      <c r="AM137" s="5"/>
      <c r="AY137" s="5" t="s">
        <v>10</v>
      </c>
    </row>
    <row r="138" spans="15:61" ht="15.95">
      <c r="AA138" s="5"/>
      <c r="AM138" s="5"/>
      <c r="AY138" s="5" t="s">
        <v>11</v>
      </c>
    </row>
    <row r="139" spans="15:61">
      <c r="AY139" t="s">
        <v>12</v>
      </c>
    </row>
    <row r="140" spans="15:61"/>
    <row r="141" spans="15:61" ht="15.95">
      <c r="AA141" s="5"/>
      <c r="AM141" s="5"/>
      <c r="AX141" t="s">
        <v>26</v>
      </c>
      <c r="AY141" s="5" t="s">
        <v>55</v>
      </c>
      <c r="AZ141" t="s">
        <v>25</v>
      </c>
      <c r="BA141" t="s">
        <v>3</v>
      </c>
      <c r="BB141" t="s">
        <v>4</v>
      </c>
      <c r="BC141" t="s">
        <v>5</v>
      </c>
      <c r="BD141" t="s">
        <v>6</v>
      </c>
      <c r="BE141" t="s">
        <v>7</v>
      </c>
      <c r="BF141" t="s">
        <v>8</v>
      </c>
      <c r="BG141" t="s">
        <v>9</v>
      </c>
    </row>
    <row r="142" spans="15:61" ht="15.95">
      <c r="AA142" s="5"/>
      <c r="AM142" s="5"/>
      <c r="AY142" s="5" t="s">
        <v>10</v>
      </c>
    </row>
    <row r="143" spans="15:61" ht="15.95">
      <c r="AA143" s="5"/>
      <c r="AM143" s="5"/>
      <c r="AY143" s="5" t="s">
        <v>11</v>
      </c>
    </row>
    <row r="144" spans="15:61">
      <c r="AY144" t="s">
        <v>12</v>
      </c>
    </row>
    <row r="145" spans="27:59"/>
    <row r="146" spans="27:59" ht="15.95">
      <c r="AA146" s="5"/>
      <c r="AM146" s="5"/>
      <c r="AX146" t="s">
        <v>26</v>
      </c>
      <c r="AY146" s="5" t="s">
        <v>56</v>
      </c>
      <c r="AZ146" t="s">
        <v>25</v>
      </c>
      <c r="BA146" t="s">
        <v>3</v>
      </c>
      <c r="BB146" t="s">
        <v>4</v>
      </c>
      <c r="BC146" t="s">
        <v>5</v>
      </c>
      <c r="BD146" t="s">
        <v>6</v>
      </c>
      <c r="BE146" t="s">
        <v>7</v>
      </c>
      <c r="BF146" t="s">
        <v>8</v>
      </c>
      <c r="BG146" t="s">
        <v>9</v>
      </c>
    </row>
    <row r="147" spans="27:59" ht="15.95">
      <c r="AA147" s="5"/>
      <c r="AM147" s="5"/>
      <c r="AY147" s="5" t="s">
        <v>10</v>
      </c>
    </row>
    <row r="148" spans="27:59" ht="15.95">
      <c r="AA148" s="5"/>
      <c r="AM148" s="5"/>
      <c r="AY148" s="5" t="s">
        <v>11</v>
      </c>
    </row>
    <row r="149" spans="27:59">
      <c r="AY149" t="s">
        <v>12</v>
      </c>
    </row>
    <row r="150" spans="27:59"/>
    <row r="151" spans="27:59" ht="15.95">
      <c r="AA151" s="5"/>
      <c r="AM151" s="5"/>
      <c r="AX151" t="s">
        <v>26</v>
      </c>
      <c r="AY151" s="5" t="s">
        <v>57</v>
      </c>
      <c r="AZ151" t="s">
        <v>25</v>
      </c>
      <c r="BA151" t="s">
        <v>3</v>
      </c>
      <c r="BB151" t="s">
        <v>4</v>
      </c>
      <c r="BC151" t="s">
        <v>5</v>
      </c>
      <c r="BD151" t="s">
        <v>6</v>
      </c>
      <c r="BE151" t="s">
        <v>7</v>
      </c>
      <c r="BF151" t="s">
        <v>8</v>
      </c>
      <c r="BG151" t="s">
        <v>9</v>
      </c>
    </row>
    <row r="152" spans="27:59" ht="15.95">
      <c r="AA152" s="5"/>
      <c r="AM152" s="5"/>
      <c r="AY152" s="5" t="s">
        <v>10</v>
      </c>
    </row>
    <row r="153" spans="27:59" ht="15.95">
      <c r="AA153" s="5"/>
      <c r="AM153" s="5"/>
      <c r="AY153" s="5" t="s">
        <v>11</v>
      </c>
    </row>
    <row r="154" spans="27:59">
      <c r="AY154" t="s">
        <v>12</v>
      </c>
    </row>
    <row r="155" spans="27:59"/>
    <row r="156" spans="27:59" ht="15.95">
      <c r="AA156" s="5"/>
      <c r="AM156" s="5"/>
      <c r="AX156" t="s">
        <v>26</v>
      </c>
      <c r="AY156" s="5" t="s">
        <v>58</v>
      </c>
      <c r="AZ156" t="s">
        <v>25</v>
      </c>
      <c r="BA156" t="s">
        <v>3</v>
      </c>
      <c r="BB156" t="s">
        <v>4</v>
      </c>
      <c r="BC156" t="s">
        <v>5</v>
      </c>
      <c r="BD156" t="s">
        <v>6</v>
      </c>
      <c r="BE156" t="s">
        <v>7</v>
      </c>
      <c r="BF156" t="s">
        <v>8</v>
      </c>
      <c r="BG156" t="s">
        <v>9</v>
      </c>
    </row>
    <row r="157" spans="27:59" ht="15.95">
      <c r="AA157" s="5"/>
      <c r="AM157" s="5"/>
      <c r="AY157" s="5" t="s">
        <v>10</v>
      </c>
    </row>
    <row r="158" spans="27:59" ht="15.95">
      <c r="AA158" s="5"/>
      <c r="AM158" s="5"/>
      <c r="AY158" s="5" t="s">
        <v>11</v>
      </c>
    </row>
    <row r="159" spans="27:59">
      <c r="AY159" t="s">
        <v>12</v>
      </c>
    </row>
    <row r="160" spans="27:59"/>
    <row r="161" spans="27:59" ht="15.95">
      <c r="AA161" s="5"/>
      <c r="AM161" s="5"/>
      <c r="AX161" t="s">
        <v>26</v>
      </c>
      <c r="AY161" s="5" t="s">
        <v>59</v>
      </c>
      <c r="AZ161" t="s">
        <v>25</v>
      </c>
      <c r="BA161" t="s">
        <v>3</v>
      </c>
      <c r="BB161" t="s">
        <v>4</v>
      </c>
      <c r="BC161" t="s">
        <v>5</v>
      </c>
      <c r="BD161" t="s">
        <v>6</v>
      </c>
      <c r="BE161" t="s">
        <v>7</v>
      </c>
      <c r="BF161" t="s">
        <v>8</v>
      </c>
      <c r="BG161" t="s">
        <v>9</v>
      </c>
    </row>
    <row r="162" spans="27:59" ht="15.95">
      <c r="AA162" s="5"/>
      <c r="AM162" s="5"/>
      <c r="AY162" s="5" t="s">
        <v>10</v>
      </c>
    </row>
    <row r="163" spans="27:59" ht="15.95">
      <c r="AA163" s="5"/>
      <c r="AM163" s="5"/>
      <c r="AY163" s="5" t="s">
        <v>11</v>
      </c>
    </row>
    <row r="164" spans="27:59">
      <c r="AY164" t="s">
        <v>12</v>
      </c>
    </row>
    <row r="165" spans="27:59"/>
    <row r="166" spans="27:59" ht="15.95">
      <c r="AA166" s="5"/>
      <c r="AM166" s="5"/>
      <c r="AX166" t="s">
        <v>26</v>
      </c>
      <c r="AY166" s="5" t="s">
        <v>60</v>
      </c>
      <c r="AZ166" t="s">
        <v>25</v>
      </c>
      <c r="BA166" t="s">
        <v>3</v>
      </c>
      <c r="BB166" t="s">
        <v>4</v>
      </c>
      <c r="BC166" t="s">
        <v>5</v>
      </c>
      <c r="BD166" t="s">
        <v>6</v>
      </c>
      <c r="BE166" t="s">
        <v>7</v>
      </c>
      <c r="BF166" t="s">
        <v>8</v>
      </c>
      <c r="BG166" t="s">
        <v>9</v>
      </c>
    </row>
    <row r="167" spans="27:59" ht="15.95">
      <c r="AA167" s="5"/>
      <c r="AM167" s="5"/>
      <c r="AY167" s="5" t="s">
        <v>10</v>
      </c>
    </row>
    <row r="168" spans="27:59" ht="15.95">
      <c r="AA168" s="5"/>
      <c r="AM168" s="5"/>
      <c r="AY168" s="5" t="s">
        <v>11</v>
      </c>
    </row>
    <row r="169" spans="27:59">
      <c r="AY169" t="s">
        <v>12</v>
      </c>
    </row>
    <row r="170" spans="27:59"/>
    <row r="171" spans="27:59" ht="15.95">
      <c r="AA171" s="5"/>
      <c r="AM171" s="5"/>
      <c r="AX171" t="s">
        <v>26</v>
      </c>
      <c r="AY171" s="5" t="s">
        <v>61</v>
      </c>
      <c r="AZ171" t="s">
        <v>25</v>
      </c>
      <c r="BA171" t="s">
        <v>3</v>
      </c>
      <c r="BB171" t="s">
        <v>4</v>
      </c>
      <c r="BC171" t="s">
        <v>5</v>
      </c>
      <c r="BD171" t="s">
        <v>6</v>
      </c>
      <c r="BE171" t="s">
        <v>7</v>
      </c>
      <c r="BF171" t="s">
        <v>8</v>
      </c>
      <c r="BG171" t="s">
        <v>9</v>
      </c>
    </row>
    <row r="172" spans="27:59" ht="15.95">
      <c r="AA172" s="5"/>
      <c r="AM172" s="5"/>
      <c r="AY172" s="5" t="s">
        <v>10</v>
      </c>
    </row>
    <row r="173" spans="27:59" ht="15.95">
      <c r="AA173" s="5"/>
      <c r="AM173" s="5"/>
      <c r="AY173" s="5" t="s">
        <v>11</v>
      </c>
    </row>
    <row r="174" spans="27:59">
      <c r="AY174" t="s">
        <v>12</v>
      </c>
    </row>
    <row r="175" spans="27:59"/>
    <row r="176" spans="27:59" ht="15.95">
      <c r="AA176" s="5"/>
      <c r="AM176" s="5"/>
      <c r="AX176" t="s">
        <v>26</v>
      </c>
      <c r="AY176" s="5" t="s">
        <v>62</v>
      </c>
      <c r="AZ176" t="s">
        <v>25</v>
      </c>
      <c r="BA176" t="s">
        <v>3</v>
      </c>
      <c r="BB176" t="s">
        <v>4</v>
      </c>
      <c r="BC176" t="s">
        <v>5</v>
      </c>
      <c r="BD176" t="s">
        <v>6</v>
      </c>
      <c r="BE176" t="s">
        <v>7</v>
      </c>
      <c r="BF176" t="s">
        <v>8</v>
      </c>
      <c r="BG176" t="s">
        <v>9</v>
      </c>
    </row>
    <row r="177" spans="1:61" ht="15.95">
      <c r="AA177" s="5"/>
      <c r="AM177" s="5"/>
      <c r="AY177" s="5" t="s">
        <v>10</v>
      </c>
    </row>
    <row r="178" spans="1:61" ht="15.95">
      <c r="AA178" s="5"/>
      <c r="AM178" s="5"/>
      <c r="AY178" s="5" t="s">
        <v>11</v>
      </c>
    </row>
    <row r="179" spans="1:61">
      <c r="AY179" t="s">
        <v>12</v>
      </c>
    </row>
    <row r="180" spans="1:61"/>
    <row r="181" spans="1:61" ht="15.95">
      <c r="A181" t="s">
        <v>0</v>
      </c>
      <c r="B181" t="s">
        <v>63</v>
      </c>
      <c r="C181" t="s">
        <v>25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AA181" s="5"/>
      <c r="AM181" s="5"/>
      <c r="AX181" t="s">
        <v>26</v>
      </c>
      <c r="AY181" s="5" t="s">
        <v>63</v>
      </c>
      <c r="AZ181" t="s">
        <v>25</v>
      </c>
      <c r="BA181" t="s">
        <v>3</v>
      </c>
      <c r="BB181" t="s">
        <v>4</v>
      </c>
      <c r="BC181" t="s">
        <v>5</v>
      </c>
      <c r="BD181" t="s">
        <v>6</v>
      </c>
      <c r="BE181" t="s">
        <v>7</v>
      </c>
      <c r="BF181" t="s">
        <v>8</v>
      </c>
      <c r="BG181" t="s">
        <v>9</v>
      </c>
    </row>
    <row r="182" spans="1:61" ht="15.95">
      <c r="B182" t="s">
        <v>10</v>
      </c>
      <c r="C182">
        <v>107</v>
      </c>
      <c r="D182">
        <v>0</v>
      </c>
      <c r="E182">
        <v>0</v>
      </c>
      <c r="F182">
        <v>16</v>
      </c>
      <c r="G182">
        <v>1</v>
      </c>
      <c r="H182">
        <v>1</v>
      </c>
      <c r="I182">
        <v>1</v>
      </c>
      <c r="J182">
        <v>0</v>
      </c>
      <c r="K182">
        <f>SUM(C182:J182)</f>
        <v>126</v>
      </c>
      <c r="AA182" s="5"/>
      <c r="AM182" s="5"/>
      <c r="AY182" s="5" t="s">
        <v>10</v>
      </c>
      <c r="AZ182">
        <f>AVERAGE(C182,P182,AB182,AN182)</f>
        <v>107</v>
      </c>
      <c r="BA182">
        <f t="shared" ref="BA182:BA183" si="267">AVERAGE(D182,Q182,AC182,AO182)</f>
        <v>0</v>
      </c>
      <c r="BB182">
        <f t="shared" ref="BB182:BB183" si="268">AVERAGE(E182,R182,AD182,AP182)</f>
        <v>0</v>
      </c>
      <c r="BC182">
        <f t="shared" ref="BC182:BC183" si="269">AVERAGE(F182,S182,AE182,AQ182)</f>
        <v>16</v>
      </c>
      <c r="BD182">
        <f t="shared" ref="BD182:BD183" si="270">AVERAGE(G182,T182,AF182,AR182)</f>
        <v>1</v>
      </c>
      <c r="BE182">
        <f t="shared" ref="BE182:BE183" si="271">AVERAGE(H182,U182,AG182,AS182)</f>
        <v>1</v>
      </c>
      <c r="BF182">
        <f t="shared" ref="BF182:BF183" si="272">AVERAGE(I182,V182,AH182,AT182)</f>
        <v>1</v>
      </c>
      <c r="BG182">
        <f t="shared" ref="BG182:BG183" si="273">AVERAGE(J182,W182,AI182,AU182)</f>
        <v>0</v>
      </c>
      <c r="BH182">
        <f t="shared" ref="BH182:BH183" si="274">SUM(AZ182:BG182)</f>
        <v>126</v>
      </c>
    </row>
    <row r="183" spans="1:61" ht="15.95">
      <c r="B183" t="s">
        <v>11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>SUM(C183:J183)</f>
        <v>4</v>
      </c>
      <c r="AA183" s="5"/>
      <c r="AM183" s="5"/>
      <c r="AY183" s="5" t="s">
        <v>11</v>
      </c>
      <c r="AZ183">
        <f t="shared" ref="AZ183" si="275">AVERAGE(C183,P183,AB183,AN183)</f>
        <v>4</v>
      </c>
      <c r="BA183">
        <f t="shared" si="267"/>
        <v>0</v>
      </c>
      <c r="BB183">
        <f t="shared" si="268"/>
        <v>0</v>
      </c>
      <c r="BC183">
        <f t="shared" si="269"/>
        <v>0</v>
      </c>
      <c r="BD183">
        <f t="shared" si="270"/>
        <v>0</v>
      </c>
      <c r="BE183">
        <f t="shared" si="271"/>
        <v>0</v>
      </c>
      <c r="BF183">
        <f t="shared" si="272"/>
        <v>0</v>
      </c>
      <c r="BG183">
        <f t="shared" si="273"/>
        <v>0</v>
      </c>
      <c r="BH183">
        <f t="shared" si="274"/>
        <v>4</v>
      </c>
    </row>
    <row r="184" spans="1:61">
      <c r="K184">
        <f>K182+K183</f>
        <v>130</v>
      </c>
      <c r="AY184" t="s">
        <v>12</v>
      </c>
    </row>
    <row r="185" spans="1:61">
      <c r="BH185">
        <f t="shared" ref="BH185:BH195" si="276">SUM(BH182:BH184)</f>
        <v>130</v>
      </c>
    </row>
    <row r="186" spans="1:61" ht="15.95">
      <c r="A186" t="s">
        <v>0</v>
      </c>
      <c r="B186" t="s">
        <v>64</v>
      </c>
      <c r="C186" t="s">
        <v>25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AA186" s="5"/>
      <c r="AM186" s="5"/>
      <c r="AX186" t="s">
        <v>26</v>
      </c>
      <c r="AY186" s="5" t="s">
        <v>64</v>
      </c>
      <c r="AZ186" t="s">
        <v>25</v>
      </c>
      <c r="BA186" t="s">
        <v>3</v>
      </c>
      <c r="BB186" t="s">
        <v>4</v>
      </c>
      <c r="BC186" t="s">
        <v>5</v>
      </c>
      <c r="BD186" t="s">
        <v>6</v>
      </c>
      <c r="BE186" t="s">
        <v>7</v>
      </c>
      <c r="BF186" t="s">
        <v>8</v>
      </c>
      <c r="BG186" t="s">
        <v>9</v>
      </c>
    </row>
    <row r="187" spans="1:61" ht="15.95">
      <c r="B187" t="s">
        <v>10</v>
      </c>
      <c r="C187">
        <v>102</v>
      </c>
      <c r="D187">
        <v>12</v>
      </c>
      <c r="E187">
        <v>0</v>
      </c>
      <c r="F187">
        <v>7</v>
      </c>
      <c r="G187">
        <v>2</v>
      </c>
      <c r="H187">
        <v>1</v>
      </c>
      <c r="I187">
        <v>2</v>
      </c>
      <c r="J187">
        <v>0</v>
      </c>
      <c r="K187">
        <f>SUM(C187:J187)</f>
        <v>126</v>
      </c>
      <c r="AA187" s="5"/>
      <c r="AM187" s="5"/>
      <c r="AY187" s="5" t="s">
        <v>10</v>
      </c>
      <c r="AZ187">
        <f>AVERAGE(C187,P187,AB187,AN187)</f>
        <v>102</v>
      </c>
      <c r="BA187">
        <f t="shared" ref="BA187:BA188" si="277">AVERAGE(D187,Q187,AC187,AO187)</f>
        <v>12</v>
      </c>
      <c r="BB187">
        <f t="shared" ref="BB187:BB188" si="278">AVERAGE(E187,R187,AD187,AP187)</f>
        <v>0</v>
      </c>
      <c r="BC187">
        <f t="shared" ref="BC187:BC188" si="279">AVERAGE(F187,S187,AE187,AQ187)</f>
        <v>7</v>
      </c>
      <c r="BD187">
        <f t="shared" ref="BD187:BD188" si="280">AVERAGE(G187,T187,AF187,AR187)</f>
        <v>2</v>
      </c>
      <c r="BE187">
        <f t="shared" ref="BE187:BE188" si="281">AVERAGE(H187,U187,AG187,AS187)</f>
        <v>1</v>
      </c>
      <c r="BF187">
        <f t="shared" ref="BF187:BF188" si="282">AVERAGE(I187,V187,AH187,AT187)</f>
        <v>2</v>
      </c>
      <c r="BG187">
        <f t="shared" ref="BG187:BG188" si="283">AVERAGE(J187,W187,AI187,AU187)</f>
        <v>0</v>
      </c>
      <c r="BH187">
        <f t="shared" ref="BH187:BH188" si="284">SUM(AZ187:BG187)</f>
        <v>126</v>
      </c>
    </row>
    <row r="188" spans="1:61" ht="15.95">
      <c r="B188" t="s">
        <v>11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f>SUM(C188:J188)</f>
        <v>2</v>
      </c>
      <c r="AA188" s="5"/>
      <c r="AM188" s="5"/>
      <c r="AY188" s="5" t="s">
        <v>11</v>
      </c>
      <c r="AZ188">
        <f t="shared" ref="AZ188" si="285">AVERAGE(C188,P188,AB188,AN188)</f>
        <v>2</v>
      </c>
      <c r="BA188">
        <f t="shared" si="277"/>
        <v>0</v>
      </c>
      <c r="BB188">
        <f t="shared" si="278"/>
        <v>0</v>
      </c>
      <c r="BC188">
        <f t="shared" si="279"/>
        <v>0</v>
      </c>
      <c r="BD188">
        <f t="shared" si="280"/>
        <v>0</v>
      </c>
      <c r="BE188">
        <f t="shared" si="281"/>
        <v>0</v>
      </c>
      <c r="BF188">
        <f t="shared" si="282"/>
        <v>0</v>
      </c>
      <c r="BG188">
        <f t="shared" si="283"/>
        <v>0</v>
      </c>
      <c r="BH188">
        <f t="shared" si="284"/>
        <v>2</v>
      </c>
    </row>
    <row r="189" spans="1:61">
      <c r="K189">
        <f>K187+K188</f>
        <v>128</v>
      </c>
      <c r="AY189" t="s">
        <v>12</v>
      </c>
    </row>
    <row r="190" spans="1:61">
      <c r="BH190">
        <f t="shared" si="276"/>
        <v>128</v>
      </c>
      <c r="BI190">
        <f>AVERAGE(K189, X189)</f>
        <v>128</v>
      </c>
    </row>
    <row r="191" spans="1:61" ht="15.95">
      <c r="A191" t="s">
        <v>0</v>
      </c>
      <c r="B191" t="s">
        <v>65</v>
      </c>
      <c r="C191" t="s">
        <v>25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AA191" s="5"/>
      <c r="AM191" s="5"/>
      <c r="AX191" t="s">
        <v>26</v>
      </c>
      <c r="AY191" s="5" t="s">
        <v>65</v>
      </c>
      <c r="AZ191" t="s">
        <v>25</v>
      </c>
      <c r="BA191" t="s">
        <v>3</v>
      </c>
      <c r="BB191" t="s">
        <v>4</v>
      </c>
      <c r="BC191" t="s">
        <v>5</v>
      </c>
      <c r="BD191" t="s">
        <v>6</v>
      </c>
      <c r="BE191" t="s">
        <v>7</v>
      </c>
      <c r="BF191" t="s">
        <v>8</v>
      </c>
      <c r="BG191" t="s">
        <v>9</v>
      </c>
    </row>
    <row r="192" spans="1:61" ht="15.95">
      <c r="B192" t="s">
        <v>10</v>
      </c>
      <c r="C192">
        <v>120</v>
      </c>
      <c r="D192">
        <v>6</v>
      </c>
      <c r="E192">
        <v>0</v>
      </c>
      <c r="F192">
        <v>0</v>
      </c>
      <c r="G192">
        <v>3</v>
      </c>
      <c r="H192">
        <v>1</v>
      </c>
      <c r="I192">
        <v>4</v>
      </c>
      <c r="J192">
        <v>0</v>
      </c>
      <c r="K192">
        <f>SUM(C192:J192)</f>
        <v>134</v>
      </c>
      <c r="AA192" s="5"/>
      <c r="AM192" s="5"/>
      <c r="AY192" s="5" t="s">
        <v>10</v>
      </c>
      <c r="AZ192">
        <f t="shared" ref="AZ192:BG193" si="286">AVERAGE(C192,P192,AB187,AN187)</f>
        <v>120</v>
      </c>
      <c r="BA192">
        <f t="shared" si="286"/>
        <v>6</v>
      </c>
      <c r="BB192">
        <f t="shared" si="286"/>
        <v>0</v>
      </c>
      <c r="BC192">
        <f t="shared" si="286"/>
        <v>0</v>
      </c>
      <c r="BD192">
        <f t="shared" si="286"/>
        <v>3</v>
      </c>
      <c r="BE192">
        <f t="shared" si="286"/>
        <v>1</v>
      </c>
      <c r="BF192">
        <f t="shared" si="286"/>
        <v>4</v>
      </c>
      <c r="BG192">
        <f t="shared" si="286"/>
        <v>0</v>
      </c>
      <c r="BH192">
        <f t="shared" ref="BH192:BH193" si="287">SUM(AZ192:BG192)</f>
        <v>134</v>
      </c>
    </row>
    <row r="193" spans="2:61" ht="15.95">
      <c r="B193" t="s">
        <v>11</v>
      </c>
      <c r="C193">
        <v>22</v>
      </c>
      <c r="D193">
        <v>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f>SUM(C193:J193)</f>
        <v>26</v>
      </c>
      <c r="AA193" s="5"/>
      <c r="AM193" s="5"/>
      <c r="AY193" s="5" t="s">
        <v>11</v>
      </c>
      <c r="AZ193">
        <f t="shared" si="286"/>
        <v>22</v>
      </c>
      <c r="BA193">
        <f t="shared" si="286"/>
        <v>4</v>
      </c>
      <c r="BB193">
        <f t="shared" si="286"/>
        <v>0</v>
      </c>
      <c r="BC193">
        <f t="shared" si="286"/>
        <v>0</v>
      </c>
      <c r="BD193">
        <f t="shared" si="286"/>
        <v>0</v>
      </c>
      <c r="BE193">
        <f t="shared" si="286"/>
        <v>0</v>
      </c>
      <c r="BF193">
        <f t="shared" si="286"/>
        <v>0</v>
      </c>
      <c r="BG193">
        <f t="shared" si="286"/>
        <v>0</v>
      </c>
      <c r="BH193">
        <f t="shared" si="287"/>
        <v>26</v>
      </c>
    </row>
    <row r="194" spans="2:61">
      <c r="K194">
        <f>K192+K193</f>
        <v>160</v>
      </c>
      <c r="AY194" t="s">
        <v>12</v>
      </c>
    </row>
    <row r="195" spans="2:61">
      <c r="BH195">
        <f t="shared" si="276"/>
        <v>160</v>
      </c>
      <c r="BI195">
        <f t="shared" ref="BI195" si="288">AVERAGE(K194, X194)</f>
        <v>160</v>
      </c>
    </row>
    <row r="196" spans="2:61" ht="15.95">
      <c r="AA196" s="5"/>
      <c r="AM196" s="5"/>
      <c r="AX196" t="s">
        <v>26</v>
      </c>
      <c r="AY196" s="5" t="s">
        <v>66</v>
      </c>
      <c r="AZ196" t="s">
        <v>25</v>
      </c>
      <c r="BA196" t="s">
        <v>3</v>
      </c>
      <c r="BB196" t="s">
        <v>4</v>
      </c>
      <c r="BC196" t="s">
        <v>5</v>
      </c>
      <c r="BD196" t="s">
        <v>6</v>
      </c>
      <c r="BE196" t="s">
        <v>7</v>
      </c>
      <c r="BF196" t="s">
        <v>8</v>
      </c>
      <c r="BG196" t="s">
        <v>9</v>
      </c>
    </row>
    <row r="197" spans="2:61" ht="15.95">
      <c r="AA197" s="5"/>
      <c r="AM197" s="5"/>
      <c r="AY197" s="5" t="s">
        <v>10</v>
      </c>
    </row>
    <row r="198" spans="2:61" ht="15.95">
      <c r="AA198" s="5"/>
      <c r="AM198" s="5"/>
      <c r="AY198" s="5" t="s">
        <v>11</v>
      </c>
    </row>
    <row r="199" spans="2:61">
      <c r="AY199" t="s">
        <v>12</v>
      </c>
    </row>
    <row r="200" spans="2:61"/>
    <row r="201" spans="2:61" ht="15.95">
      <c r="AA201" s="5"/>
      <c r="AM201" s="5"/>
      <c r="AX201" t="s">
        <v>26</v>
      </c>
      <c r="AY201" s="5" t="s">
        <v>67</v>
      </c>
      <c r="AZ201" t="s">
        <v>25</v>
      </c>
      <c r="BA201" t="s">
        <v>3</v>
      </c>
      <c r="BB201" t="s">
        <v>4</v>
      </c>
      <c r="BC201" t="s">
        <v>5</v>
      </c>
      <c r="BD201" t="s">
        <v>6</v>
      </c>
      <c r="BE201" t="s">
        <v>7</v>
      </c>
      <c r="BF201" t="s">
        <v>8</v>
      </c>
      <c r="BG201" t="s">
        <v>9</v>
      </c>
    </row>
    <row r="202" spans="2:61" ht="15.95">
      <c r="AA202" s="5"/>
      <c r="AM202" s="5"/>
      <c r="AY202" s="5" t="s">
        <v>10</v>
      </c>
    </row>
    <row r="203" spans="2:61" ht="15.95">
      <c r="AA203" s="5"/>
      <c r="AM203" s="5"/>
      <c r="AY203" s="5" t="s">
        <v>11</v>
      </c>
    </row>
    <row r="204" spans="2:61">
      <c r="AY204" t="s">
        <v>12</v>
      </c>
    </row>
    <row r="205" spans="2:61"/>
    <row r="206" spans="2:61" ht="15.95">
      <c r="AA206" s="5"/>
      <c r="AM206" s="5"/>
      <c r="AX206" t="s">
        <v>26</v>
      </c>
      <c r="AY206" s="5" t="s">
        <v>68</v>
      </c>
      <c r="AZ206" t="s">
        <v>25</v>
      </c>
      <c r="BA206" t="s">
        <v>3</v>
      </c>
      <c r="BB206" t="s">
        <v>4</v>
      </c>
      <c r="BC206" t="s">
        <v>5</v>
      </c>
      <c r="BD206" t="s">
        <v>6</v>
      </c>
      <c r="BE206" t="s">
        <v>7</v>
      </c>
      <c r="BF206" t="s">
        <v>8</v>
      </c>
      <c r="BG206" t="s">
        <v>9</v>
      </c>
    </row>
    <row r="207" spans="2:61" ht="15.95">
      <c r="AA207" s="5"/>
      <c r="AM207" s="5"/>
      <c r="AY207" s="5" t="s">
        <v>10</v>
      </c>
    </row>
    <row r="208" spans="2:61" ht="15.95">
      <c r="AA208" s="5"/>
      <c r="AM208" s="5"/>
      <c r="AY208" s="5" t="s">
        <v>11</v>
      </c>
    </row>
    <row r="209" spans="1:61">
      <c r="AY209" t="s">
        <v>12</v>
      </c>
    </row>
    <row r="210" spans="1:61"/>
    <row r="211" spans="1:61" ht="15.95">
      <c r="A211" t="s">
        <v>0</v>
      </c>
      <c r="B211" t="s">
        <v>69</v>
      </c>
      <c r="C211" t="s">
        <v>25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AA211" s="5"/>
      <c r="AM211" s="5"/>
      <c r="AX211" t="s">
        <v>26</v>
      </c>
      <c r="AY211" s="5" t="s">
        <v>69</v>
      </c>
      <c r="AZ211" t="s">
        <v>25</v>
      </c>
      <c r="BA211" t="s">
        <v>3</v>
      </c>
      <c r="BB211" t="s">
        <v>4</v>
      </c>
      <c r="BC211" t="s">
        <v>5</v>
      </c>
      <c r="BD211" t="s">
        <v>6</v>
      </c>
      <c r="BE211" t="s">
        <v>7</v>
      </c>
      <c r="BF211" t="s">
        <v>8</v>
      </c>
      <c r="BG211" t="s">
        <v>9</v>
      </c>
    </row>
    <row r="212" spans="1:61" ht="15.95">
      <c r="B212" t="s">
        <v>10</v>
      </c>
      <c r="C212">
        <v>6</v>
      </c>
      <c r="D212">
        <v>2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f>SUM(C212:J212)</f>
        <v>10</v>
      </c>
      <c r="AA212" s="5"/>
      <c r="AM212" s="5"/>
      <c r="AY212" s="5" t="s">
        <v>10</v>
      </c>
      <c r="AZ212">
        <f>AVERAGE(C212,P212)</f>
        <v>6</v>
      </c>
      <c r="BA212">
        <f t="shared" ref="BA212:BH213" si="289">AVERAGE(D212,Q212)</f>
        <v>2</v>
      </c>
      <c r="BB212">
        <f t="shared" si="289"/>
        <v>0</v>
      </c>
      <c r="BC212">
        <f t="shared" si="289"/>
        <v>1</v>
      </c>
      <c r="BD212">
        <f t="shared" si="289"/>
        <v>0</v>
      </c>
      <c r="BE212">
        <f t="shared" si="289"/>
        <v>0</v>
      </c>
      <c r="BF212">
        <f t="shared" si="289"/>
        <v>1</v>
      </c>
      <c r="BG212">
        <f t="shared" si="289"/>
        <v>0</v>
      </c>
      <c r="BH212">
        <f>AVERAGE(K212,X212)</f>
        <v>10</v>
      </c>
    </row>
    <row r="213" spans="1:61" ht="15.95">
      <c r="B213" t="s">
        <v>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f>SUM(C213:J213)</f>
        <v>0</v>
      </c>
      <c r="AA213" s="5"/>
      <c r="AM213" s="5"/>
      <c r="AY213" s="5" t="s">
        <v>11</v>
      </c>
      <c r="AZ213">
        <f t="shared" ref="AZ213" si="290">AVERAGE(C213,P213)</f>
        <v>0</v>
      </c>
      <c r="BA213">
        <f t="shared" si="289"/>
        <v>0</v>
      </c>
      <c r="BB213">
        <f t="shared" si="289"/>
        <v>0</v>
      </c>
      <c r="BC213">
        <f t="shared" si="289"/>
        <v>0</v>
      </c>
      <c r="BD213">
        <f t="shared" si="289"/>
        <v>0</v>
      </c>
      <c r="BE213">
        <f t="shared" si="289"/>
        <v>0</v>
      </c>
      <c r="BF213">
        <f t="shared" si="289"/>
        <v>0</v>
      </c>
      <c r="BG213">
        <f t="shared" si="289"/>
        <v>0</v>
      </c>
      <c r="BH213">
        <f t="shared" si="289"/>
        <v>0</v>
      </c>
    </row>
    <row r="214" spans="1:61">
      <c r="K214">
        <f>K212+K213</f>
        <v>10</v>
      </c>
      <c r="AY214" t="s">
        <v>12</v>
      </c>
    </row>
    <row r="215" spans="1:61">
      <c r="BH215">
        <f>SUM(BH212:BH214)</f>
        <v>10</v>
      </c>
      <c r="BI215">
        <f xml:space="preserve"> AVERAGE(K214,X214)</f>
        <v>10</v>
      </c>
    </row>
    <row r="216" spans="1:61" ht="15.95">
      <c r="A216" t="s">
        <v>0</v>
      </c>
      <c r="B216" t="s">
        <v>70</v>
      </c>
      <c r="C216" t="s">
        <v>25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N216" t="s">
        <v>13</v>
      </c>
      <c r="O216" t="s">
        <v>70</v>
      </c>
      <c r="P216" t="s">
        <v>25</v>
      </c>
      <c r="Q216" t="s">
        <v>14</v>
      </c>
      <c r="R216" t="s">
        <v>4</v>
      </c>
      <c r="S216" t="s">
        <v>5</v>
      </c>
      <c r="T216" t="s">
        <v>6</v>
      </c>
      <c r="U216" t="s">
        <v>7</v>
      </c>
      <c r="V216" t="s">
        <v>8</v>
      </c>
      <c r="W216" t="s">
        <v>9</v>
      </c>
      <c r="AA216" s="5"/>
      <c r="AM216" s="5"/>
      <c r="AX216" t="s">
        <v>26</v>
      </c>
      <c r="AY216" s="5" t="s">
        <v>70</v>
      </c>
      <c r="AZ216" t="s">
        <v>25</v>
      </c>
      <c r="BA216" t="s">
        <v>3</v>
      </c>
      <c r="BB216" t="s">
        <v>4</v>
      </c>
      <c r="BC216" t="s">
        <v>5</v>
      </c>
      <c r="BD216" t="s">
        <v>6</v>
      </c>
      <c r="BE216" t="s">
        <v>7</v>
      </c>
      <c r="BF216" t="s">
        <v>8</v>
      </c>
      <c r="BG216" t="s">
        <v>9</v>
      </c>
    </row>
    <row r="217" spans="1:61" ht="15.95">
      <c r="B217" t="s">
        <v>10</v>
      </c>
      <c r="C217">
        <v>11</v>
      </c>
      <c r="D217">
        <v>4</v>
      </c>
      <c r="E217">
        <v>0</v>
      </c>
      <c r="F217">
        <v>4</v>
      </c>
      <c r="G217">
        <v>0</v>
      </c>
      <c r="H217">
        <v>0</v>
      </c>
      <c r="I217">
        <v>1</v>
      </c>
      <c r="J217">
        <v>0</v>
      </c>
      <c r="K217">
        <f>SUM(C217:J217)</f>
        <v>20</v>
      </c>
      <c r="O217" t="s">
        <v>10</v>
      </c>
      <c r="P217">
        <v>14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f>SUM(P217:W217)</f>
        <v>15</v>
      </c>
      <c r="AA217" s="5"/>
      <c r="AM217" s="5"/>
      <c r="AY217" s="5" t="s">
        <v>10</v>
      </c>
      <c r="AZ217">
        <f>AVERAGE(C217,P217)</f>
        <v>12.5</v>
      </c>
      <c r="BA217">
        <f t="shared" ref="BA217:BA218" si="291">AVERAGE(D217,Q217)</f>
        <v>2.5</v>
      </c>
      <c r="BB217">
        <f t="shared" ref="BB217:BB218" si="292">AVERAGE(E217,R217)</f>
        <v>0</v>
      </c>
      <c r="BC217">
        <f t="shared" ref="BC217:BC218" si="293">AVERAGE(F217,S217)</f>
        <v>2</v>
      </c>
      <c r="BD217">
        <f t="shared" ref="BD217:BD218" si="294">AVERAGE(G217,T217)</f>
        <v>0</v>
      </c>
      <c r="BE217">
        <f t="shared" ref="BE217:BE218" si="295">AVERAGE(H217,U217)</f>
        <v>0</v>
      </c>
      <c r="BF217">
        <f t="shared" ref="BF217:BF218" si="296">AVERAGE(I217,V217)</f>
        <v>0.5</v>
      </c>
      <c r="BG217">
        <f t="shared" ref="BG217:BG218" si="297">AVERAGE(J217,W217)</f>
        <v>0</v>
      </c>
      <c r="BH217">
        <f>AVERAGE(K217,X217)</f>
        <v>17.5</v>
      </c>
    </row>
    <row r="218" spans="1:61" ht="15.95">
      <c r="B218" t="s">
        <v>11</v>
      </c>
      <c r="C218">
        <v>2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f>SUM(C218:J218)</f>
        <v>3</v>
      </c>
      <c r="O218" t="s">
        <v>11</v>
      </c>
      <c r="P218">
        <v>6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f>SUM(P218:V218)</f>
        <v>7</v>
      </c>
      <c r="AA218" s="5"/>
      <c r="AM218" s="5"/>
      <c r="AY218" s="5" t="s">
        <v>11</v>
      </c>
      <c r="AZ218">
        <f t="shared" ref="AZ218" si="298">AVERAGE(C218,P218)</f>
        <v>4</v>
      </c>
      <c r="BA218">
        <f t="shared" si="291"/>
        <v>0.5</v>
      </c>
      <c r="BB218">
        <f t="shared" si="292"/>
        <v>0.5</v>
      </c>
      <c r="BC218">
        <f t="shared" si="293"/>
        <v>0</v>
      </c>
      <c r="BD218">
        <f t="shared" si="294"/>
        <v>0</v>
      </c>
      <c r="BE218">
        <f t="shared" si="295"/>
        <v>0</v>
      </c>
      <c r="BF218">
        <f t="shared" si="296"/>
        <v>0</v>
      </c>
      <c r="BG218">
        <f t="shared" si="297"/>
        <v>0</v>
      </c>
      <c r="BH218">
        <f t="shared" ref="BH218" si="299">AVERAGE(K218,X218)</f>
        <v>5</v>
      </c>
    </row>
    <row r="219" spans="1:61">
      <c r="K219">
        <f>K217+K218</f>
        <v>23</v>
      </c>
      <c r="X219">
        <f>X217+X218</f>
        <v>22</v>
      </c>
      <c r="AY219" t="s">
        <v>12</v>
      </c>
    </row>
    <row r="220" spans="1:61">
      <c r="BH220">
        <f>SUM(BH217:BH219)</f>
        <v>22.5</v>
      </c>
      <c r="BI220">
        <f xml:space="preserve"> AVERAGE(K219,X219)</f>
        <v>22.5</v>
      </c>
    </row>
    <row r="221" spans="1:61" ht="15.95">
      <c r="A221" t="s">
        <v>0</v>
      </c>
      <c r="B221" t="s">
        <v>71</v>
      </c>
      <c r="C221" t="s">
        <v>25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N221" t="s">
        <v>13</v>
      </c>
      <c r="O221" s="5" t="s">
        <v>71</v>
      </c>
      <c r="P221" t="s">
        <v>25</v>
      </c>
      <c r="Q221" t="s">
        <v>14</v>
      </c>
      <c r="R221" t="s">
        <v>4</v>
      </c>
      <c r="S221" s="5" t="s">
        <v>5</v>
      </c>
      <c r="T221" s="5" t="s">
        <v>6</v>
      </c>
      <c r="U221" s="5" t="s">
        <v>7</v>
      </c>
      <c r="V221" s="5" t="s">
        <v>8</v>
      </c>
      <c r="W221" t="s">
        <v>9</v>
      </c>
      <c r="AA221" s="5"/>
      <c r="AM221" s="5"/>
      <c r="AX221" t="s">
        <v>26</v>
      </c>
      <c r="AY221" s="5" t="s">
        <v>71</v>
      </c>
      <c r="AZ221" t="s">
        <v>25</v>
      </c>
      <c r="BA221" t="s">
        <v>3</v>
      </c>
      <c r="BB221" t="s">
        <v>4</v>
      </c>
      <c r="BC221" t="s">
        <v>5</v>
      </c>
      <c r="BD221" t="s">
        <v>6</v>
      </c>
      <c r="BE221" t="s">
        <v>7</v>
      </c>
      <c r="BF221" t="s">
        <v>8</v>
      </c>
      <c r="BG221" t="s">
        <v>9</v>
      </c>
    </row>
    <row r="222" spans="1:61" ht="15.95">
      <c r="B222" t="s">
        <v>10</v>
      </c>
      <c r="C222">
        <v>11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>SUM(C222:J222)</f>
        <v>13</v>
      </c>
      <c r="O222" s="5" t="s">
        <v>10</v>
      </c>
      <c r="P222" s="5">
        <v>4</v>
      </c>
      <c r="Q222" s="5">
        <v>0</v>
      </c>
      <c r="R222" s="5">
        <v>1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>
        <f>SUM(P222:W222)</f>
        <v>5</v>
      </c>
      <c r="AA222" s="5"/>
      <c r="AM222" s="5"/>
      <c r="AY222" s="5" t="s">
        <v>10</v>
      </c>
      <c r="AZ222">
        <f>AVERAGE(C222,P222)</f>
        <v>7.5</v>
      </c>
      <c r="BA222">
        <f t="shared" ref="BA222:BA223" si="300">AVERAGE(D222,Q222)</f>
        <v>1</v>
      </c>
      <c r="BB222">
        <f t="shared" ref="BB222:BB223" si="301">AVERAGE(E222,R222)</f>
        <v>0.5</v>
      </c>
      <c r="BC222">
        <f t="shared" ref="BC222:BC223" si="302">AVERAGE(F222,S222)</f>
        <v>0</v>
      </c>
      <c r="BD222">
        <f t="shared" ref="BD222:BD223" si="303">AVERAGE(G222,T222)</f>
        <v>0</v>
      </c>
      <c r="BE222">
        <f t="shared" ref="BE222:BE223" si="304">AVERAGE(H222,U222)</f>
        <v>0</v>
      </c>
      <c r="BF222">
        <f t="shared" ref="BF222:BF223" si="305">AVERAGE(I222,V222)</f>
        <v>0</v>
      </c>
      <c r="BG222">
        <f t="shared" ref="BG222:BG223" si="306">AVERAGE(J222,W222)</f>
        <v>0</v>
      </c>
      <c r="BH222">
        <f>AVERAGE(K222,X222)</f>
        <v>9</v>
      </c>
    </row>
    <row r="223" spans="1:61" ht="15.95">
      <c r="B223" t="s">
        <v>11</v>
      </c>
      <c r="C223">
        <v>1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>SUM(C223:J223)</f>
        <v>4</v>
      </c>
      <c r="O223" s="5" t="s">
        <v>11</v>
      </c>
      <c r="P223" s="5">
        <v>1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>
        <f>SUM(P223:V223)</f>
        <v>1</v>
      </c>
      <c r="AA223" s="5"/>
      <c r="AM223" s="5"/>
      <c r="AY223" s="5" t="s">
        <v>11</v>
      </c>
      <c r="AZ223">
        <f t="shared" ref="AZ223" si="307">AVERAGE(C223,P223)</f>
        <v>1</v>
      </c>
      <c r="BA223">
        <f t="shared" si="300"/>
        <v>1.5</v>
      </c>
      <c r="BB223">
        <f t="shared" si="301"/>
        <v>0</v>
      </c>
      <c r="BC223">
        <f t="shared" si="302"/>
        <v>0</v>
      </c>
      <c r="BD223">
        <f t="shared" si="303"/>
        <v>0</v>
      </c>
      <c r="BE223">
        <f t="shared" si="304"/>
        <v>0</v>
      </c>
      <c r="BF223">
        <f t="shared" si="305"/>
        <v>0</v>
      </c>
      <c r="BG223">
        <f t="shared" si="306"/>
        <v>0</v>
      </c>
      <c r="BH223">
        <f t="shared" ref="BH223" si="308">AVERAGE(K223,X223)</f>
        <v>2.5</v>
      </c>
    </row>
    <row r="224" spans="1:61">
      <c r="K224">
        <f>K222+K223</f>
        <v>17</v>
      </c>
      <c r="X224">
        <f>X222+X223</f>
        <v>6</v>
      </c>
      <c r="AY224" t="s">
        <v>12</v>
      </c>
    </row>
    <row r="225" spans="1:61">
      <c r="BH225">
        <f>SUM(BH222:BH224)</f>
        <v>11.5</v>
      </c>
      <c r="BI225">
        <f xml:space="preserve"> AVERAGE(K224,X224)</f>
        <v>11.5</v>
      </c>
    </row>
    <row r="226" spans="1:61" ht="15.95">
      <c r="A226" t="s">
        <v>0</v>
      </c>
      <c r="B226" t="s">
        <v>72</v>
      </c>
      <c r="C226" t="s">
        <v>25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N226" t="s">
        <v>13</v>
      </c>
      <c r="O226" s="5" t="s">
        <v>72</v>
      </c>
      <c r="P226" t="s">
        <v>25</v>
      </c>
      <c r="Q226" t="s">
        <v>14</v>
      </c>
      <c r="R226" t="s">
        <v>4</v>
      </c>
      <c r="S226" s="5" t="s">
        <v>5</v>
      </c>
      <c r="T226" s="5" t="s">
        <v>6</v>
      </c>
      <c r="U226" s="5" t="s">
        <v>7</v>
      </c>
      <c r="V226" s="5" t="s">
        <v>8</v>
      </c>
      <c r="W226" t="s">
        <v>9</v>
      </c>
      <c r="AA226" s="5"/>
      <c r="AM226" s="5"/>
      <c r="AX226" t="s">
        <v>26</v>
      </c>
      <c r="AY226" s="5" t="s">
        <v>72</v>
      </c>
      <c r="AZ226" t="s">
        <v>25</v>
      </c>
      <c r="BA226" t="s">
        <v>3</v>
      </c>
      <c r="BB226" t="s">
        <v>4</v>
      </c>
      <c r="BC226" t="s">
        <v>5</v>
      </c>
      <c r="BD226" t="s">
        <v>6</v>
      </c>
      <c r="BE226" t="s">
        <v>7</v>
      </c>
      <c r="BF226" t="s">
        <v>8</v>
      </c>
      <c r="BG226" t="s">
        <v>9</v>
      </c>
    </row>
    <row r="227" spans="1:61" ht="15.95">
      <c r="B227" t="s">
        <v>10</v>
      </c>
      <c r="C227">
        <v>7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f>SUM(C227:J227)</f>
        <v>10</v>
      </c>
      <c r="O227" s="5" t="s">
        <v>10</v>
      </c>
      <c r="P227" s="5">
        <v>16</v>
      </c>
      <c r="Q227" s="5">
        <v>1</v>
      </c>
      <c r="R227" s="5">
        <v>0</v>
      </c>
      <c r="S227" s="5">
        <v>1</v>
      </c>
      <c r="T227" s="5">
        <v>0</v>
      </c>
      <c r="U227" s="5">
        <v>0</v>
      </c>
      <c r="V227" s="5">
        <v>0</v>
      </c>
      <c r="W227" s="5">
        <v>0</v>
      </c>
      <c r="X227">
        <f>SUM(P227:W227)</f>
        <v>18</v>
      </c>
      <c r="AA227" s="5"/>
      <c r="AM227" s="5"/>
      <c r="AY227" s="5" t="s">
        <v>10</v>
      </c>
      <c r="AZ227">
        <f>AVERAGE(C227,P227)</f>
        <v>11.5</v>
      </c>
      <c r="BA227">
        <f t="shared" ref="BA227:BA228" si="309">AVERAGE(D227,Q227)</f>
        <v>2</v>
      </c>
      <c r="BB227">
        <f t="shared" ref="BB227:BB228" si="310">AVERAGE(E227,R227)</f>
        <v>0</v>
      </c>
      <c r="BC227">
        <f t="shared" ref="BC227:BC228" si="311">AVERAGE(F227,S227)</f>
        <v>0.5</v>
      </c>
      <c r="BD227">
        <f t="shared" ref="BD227:BD228" si="312">AVERAGE(G227,T227)</f>
        <v>0</v>
      </c>
      <c r="BE227">
        <f t="shared" ref="BE227:BE228" si="313">AVERAGE(H227,U227)</f>
        <v>0</v>
      </c>
      <c r="BF227">
        <f t="shared" ref="BF227:BF228" si="314">AVERAGE(I227,V227)</f>
        <v>0</v>
      </c>
      <c r="BG227">
        <f t="shared" ref="BG227:BG228" si="315">AVERAGE(J227,W227)</f>
        <v>0</v>
      </c>
      <c r="BH227">
        <f>AVERAGE(K227,X227)</f>
        <v>14</v>
      </c>
    </row>
    <row r="228" spans="1:61" ht="15.95">
      <c r="B228" t="s">
        <v>11</v>
      </c>
      <c r="C228">
        <v>0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f>SUM(C228:J228)</f>
        <v>3</v>
      </c>
      <c r="O228" s="5" t="s">
        <v>11</v>
      </c>
      <c r="P228" s="5">
        <v>1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>
        <f>SUM(P228:V228)</f>
        <v>1</v>
      </c>
      <c r="AA228" s="5"/>
      <c r="AM228" s="5"/>
      <c r="AY228" s="5" t="s">
        <v>11</v>
      </c>
      <c r="AZ228">
        <f t="shared" ref="AZ228" si="316">AVERAGE(C228,P228)</f>
        <v>0.5</v>
      </c>
      <c r="BA228">
        <f t="shared" si="309"/>
        <v>1.5</v>
      </c>
      <c r="BB228">
        <f t="shared" si="310"/>
        <v>0</v>
      </c>
      <c r="BC228">
        <f t="shared" si="311"/>
        <v>0</v>
      </c>
      <c r="BD228">
        <f t="shared" si="312"/>
        <v>0</v>
      </c>
      <c r="BE228">
        <f t="shared" si="313"/>
        <v>0</v>
      </c>
      <c r="BF228">
        <f t="shared" si="314"/>
        <v>0</v>
      </c>
      <c r="BG228">
        <f t="shared" si="315"/>
        <v>0</v>
      </c>
      <c r="BH228">
        <f t="shared" ref="BH228" si="317">AVERAGE(K228,X228)</f>
        <v>2</v>
      </c>
    </row>
    <row r="229" spans="1:61">
      <c r="K229">
        <f>K227+K228</f>
        <v>13</v>
      </c>
      <c r="X229">
        <f>X227+X228</f>
        <v>19</v>
      </c>
      <c r="AY229" t="s">
        <v>12</v>
      </c>
    </row>
    <row r="230" spans="1:61">
      <c r="BH230">
        <f>SUM(BH227:BH229)</f>
        <v>16</v>
      </c>
      <c r="BI230">
        <f xml:space="preserve"> AVERAGE(K229,X229)</f>
        <v>16</v>
      </c>
    </row>
    <row r="231" spans="1:61" ht="15.95">
      <c r="A231" t="s">
        <v>0</v>
      </c>
      <c r="B231" t="s">
        <v>73</v>
      </c>
      <c r="C231" t="s">
        <v>25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N231" t="s">
        <v>13</v>
      </c>
      <c r="O231" s="5" t="s">
        <v>73</v>
      </c>
      <c r="P231" t="s">
        <v>25</v>
      </c>
      <c r="Q231" s="5" t="s">
        <v>14</v>
      </c>
      <c r="R231" t="s">
        <v>4</v>
      </c>
      <c r="S231" s="5" t="s">
        <v>5</v>
      </c>
      <c r="T231" s="5" t="s">
        <v>6</v>
      </c>
      <c r="U231" s="5" t="s">
        <v>7</v>
      </c>
      <c r="V231" s="5" t="s">
        <v>8</v>
      </c>
      <c r="W231" t="s">
        <v>9</v>
      </c>
      <c r="AA231" s="5"/>
      <c r="AM231" s="5"/>
      <c r="AX231" t="s">
        <v>26</v>
      </c>
      <c r="AY231" s="5" t="s">
        <v>73</v>
      </c>
      <c r="AZ231" t="s">
        <v>25</v>
      </c>
      <c r="BA231" t="s">
        <v>3</v>
      </c>
      <c r="BB231" t="s">
        <v>4</v>
      </c>
      <c r="BC231" t="s">
        <v>5</v>
      </c>
      <c r="BD231" t="s">
        <v>6</v>
      </c>
      <c r="BE231" t="s">
        <v>7</v>
      </c>
      <c r="BF231" t="s">
        <v>8</v>
      </c>
      <c r="BG231" t="s">
        <v>9</v>
      </c>
    </row>
    <row r="232" spans="1:61" ht="15.95">
      <c r="B232" t="s">
        <v>10</v>
      </c>
      <c r="C232">
        <v>20</v>
      </c>
      <c r="D232">
        <v>4</v>
      </c>
      <c r="E232">
        <v>0</v>
      </c>
      <c r="F232">
        <v>4</v>
      </c>
      <c r="G232">
        <v>0</v>
      </c>
      <c r="H232">
        <v>0</v>
      </c>
      <c r="I232">
        <v>2</v>
      </c>
      <c r="J232">
        <v>0</v>
      </c>
      <c r="K232">
        <f>SUM(C232:J232)</f>
        <v>30</v>
      </c>
      <c r="O232" s="5" t="s">
        <v>10</v>
      </c>
      <c r="P232" s="5">
        <v>7</v>
      </c>
      <c r="Q232">
        <v>0</v>
      </c>
      <c r="R232" s="5">
        <v>1</v>
      </c>
      <c r="S232" s="5">
        <v>3</v>
      </c>
      <c r="T232" s="5">
        <v>0</v>
      </c>
      <c r="U232" s="5">
        <v>1</v>
      </c>
      <c r="V232" s="5">
        <v>1</v>
      </c>
      <c r="W232" s="5">
        <v>6</v>
      </c>
      <c r="X232">
        <f>SUM(P232:W232)</f>
        <v>19</v>
      </c>
      <c r="AA232" s="5"/>
      <c r="AM232" s="5"/>
      <c r="AY232" s="5" t="s">
        <v>10</v>
      </c>
      <c r="AZ232">
        <f>AVERAGE(C232,P232)</f>
        <v>13.5</v>
      </c>
      <c r="BA232">
        <f t="shared" ref="BA232:BA233" si="318">AVERAGE(D232,Q232)</f>
        <v>2</v>
      </c>
      <c r="BB232">
        <f t="shared" ref="BB232:BB233" si="319">AVERAGE(E232,R232)</f>
        <v>0.5</v>
      </c>
      <c r="BC232">
        <f t="shared" ref="BC232:BC233" si="320">AVERAGE(F232,S232)</f>
        <v>3.5</v>
      </c>
      <c r="BD232">
        <f t="shared" ref="BD232:BD233" si="321">AVERAGE(G232,T232)</f>
        <v>0</v>
      </c>
      <c r="BE232">
        <f t="shared" ref="BE232:BE233" si="322">AVERAGE(H232,U232)</f>
        <v>0.5</v>
      </c>
      <c r="BF232">
        <f t="shared" ref="BF232:BF233" si="323">AVERAGE(I232,V232)</f>
        <v>1.5</v>
      </c>
      <c r="BG232">
        <f t="shared" ref="BG232:BG233" si="324">AVERAGE(J232,W232)</f>
        <v>3</v>
      </c>
      <c r="BH232">
        <f>AVERAGE(K232,X232)</f>
        <v>24.5</v>
      </c>
    </row>
    <row r="233" spans="1:61" ht="15.95">
      <c r="B233" t="s">
        <v>11</v>
      </c>
      <c r="C233">
        <v>0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>SUM(C233:J233)</f>
        <v>6</v>
      </c>
      <c r="O233" s="5" t="s">
        <v>11</v>
      </c>
      <c r="P233" s="5">
        <v>2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>
        <f>SUM(P233:V233)</f>
        <v>2</v>
      </c>
      <c r="AA233" s="5"/>
      <c r="AM233" s="5"/>
      <c r="AY233" s="5" t="s">
        <v>11</v>
      </c>
      <c r="AZ233">
        <f t="shared" ref="AZ233" si="325">AVERAGE(C233,P233)</f>
        <v>1</v>
      </c>
      <c r="BA233">
        <f t="shared" si="318"/>
        <v>3</v>
      </c>
      <c r="BB233">
        <f t="shared" si="319"/>
        <v>0</v>
      </c>
      <c r="BC233">
        <f t="shared" si="320"/>
        <v>0</v>
      </c>
      <c r="BD233">
        <f t="shared" si="321"/>
        <v>0</v>
      </c>
      <c r="BE233">
        <f t="shared" si="322"/>
        <v>0</v>
      </c>
      <c r="BF233">
        <f t="shared" si="323"/>
        <v>0</v>
      </c>
      <c r="BG233">
        <f t="shared" si="324"/>
        <v>0</v>
      </c>
      <c r="BH233">
        <f t="shared" ref="BH233" si="326">AVERAGE(K233,X233)</f>
        <v>4</v>
      </c>
    </row>
    <row r="234" spans="1:61">
      <c r="K234">
        <f>K232+K233</f>
        <v>36</v>
      </c>
      <c r="X234">
        <f>X232+X233</f>
        <v>21</v>
      </c>
      <c r="AY234" t="s">
        <v>12</v>
      </c>
    </row>
    <row r="235" spans="1:61">
      <c r="BH235">
        <f>SUM(BH232:BH234)</f>
        <v>28.5</v>
      </c>
      <c r="BI235">
        <f xml:space="preserve"> AVERAGE(K234,X234)</f>
        <v>28.5</v>
      </c>
    </row>
    <row r="236" spans="1:61" ht="15.95">
      <c r="A236" t="s">
        <v>0</v>
      </c>
      <c r="B236" t="s">
        <v>74</v>
      </c>
      <c r="C236" t="s">
        <v>25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N236" t="s">
        <v>13</v>
      </c>
      <c r="O236" s="5" t="s">
        <v>74</v>
      </c>
      <c r="P236" t="s">
        <v>25</v>
      </c>
      <c r="Q236" s="5" t="s">
        <v>14</v>
      </c>
      <c r="R236" t="s">
        <v>4</v>
      </c>
      <c r="S236" s="5" t="s">
        <v>5</v>
      </c>
      <c r="T236" s="5" t="s">
        <v>6</v>
      </c>
      <c r="U236" s="5" t="s">
        <v>7</v>
      </c>
      <c r="V236" s="5" t="s">
        <v>8</v>
      </c>
      <c r="W236" t="s">
        <v>9</v>
      </c>
      <c r="AA236" s="5"/>
      <c r="AM236" s="5"/>
      <c r="AX236" t="s">
        <v>26</v>
      </c>
      <c r="AY236" s="5" t="s">
        <v>74</v>
      </c>
      <c r="AZ236" t="s">
        <v>25</v>
      </c>
      <c r="BA236" t="s">
        <v>3</v>
      </c>
      <c r="BB236" t="s">
        <v>4</v>
      </c>
      <c r="BC236" t="s">
        <v>5</v>
      </c>
      <c r="BD236" t="s">
        <v>6</v>
      </c>
      <c r="BE236" t="s">
        <v>7</v>
      </c>
      <c r="BF236" t="s">
        <v>8</v>
      </c>
      <c r="BG236" t="s">
        <v>9</v>
      </c>
    </row>
    <row r="237" spans="1:61" ht="15.95">
      <c r="B237" t="s">
        <v>10</v>
      </c>
      <c r="C237">
        <v>26</v>
      </c>
      <c r="D237">
        <v>6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f>SUM(C237:J237)</f>
        <v>34</v>
      </c>
      <c r="O237" s="5" t="s">
        <v>10</v>
      </c>
      <c r="P237" s="5">
        <v>27</v>
      </c>
      <c r="Q237" s="5">
        <v>2</v>
      </c>
      <c r="R237" s="5">
        <v>0</v>
      </c>
      <c r="S237" s="5">
        <v>3</v>
      </c>
      <c r="T237" s="5">
        <v>0</v>
      </c>
      <c r="U237" s="5">
        <v>0</v>
      </c>
      <c r="V237" s="5">
        <v>0</v>
      </c>
      <c r="W237" s="5">
        <v>19</v>
      </c>
      <c r="X237">
        <f>SUM(P237:W237)</f>
        <v>51</v>
      </c>
      <c r="AA237" s="5"/>
      <c r="AM237" s="5"/>
      <c r="AY237" s="5" t="s">
        <v>10</v>
      </c>
      <c r="AZ237">
        <f>AVERAGE(C237,P237)</f>
        <v>26.5</v>
      </c>
      <c r="BA237">
        <f t="shared" ref="BA237:BA238" si="327">AVERAGE(D237,Q237)</f>
        <v>4</v>
      </c>
      <c r="BB237">
        <f t="shared" ref="BB237:BB238" si="328">AVERAGE(E237,R237)</f>
        <v>0</v>
      </c>
      <c r="BC237">
        <f t="shared" ref="BC237:BC238" si="329">AVERAGE(F237,S237)</f>
        <v>2.5</v>
      </c>
      <c r="BD237">
        <f t="shared" ref="BD237:BD238" si="330">AVERAGE(G237,T237)</f>
        <v>0</v>
      </c>
      <c r="BE237">
        <f t="shared" ref="BE237:BE238" si="331">AVERAGE(H237,U237)</f>
        <v>0</v>
      </c>
      <c r="BF237">
        <f t="shared" ref="BF237:BF238" si="332">AVERAGE(I237,V237)</f>
        <v>0</v>
      </c>
      <c r="BG237">
        <f t="shared" ref="BG237:BG238" si="333">AVERAGE(J237,W237)</f>
        <v>9.5</v>
      </c>
      <c r="BH237">
        <f>AVERAGE(K237,X237)</f>
        <v>42.5</v>
      </c>
    </row>
    <row r="238" spans="1:61" ht="15.95">
      <c r="B238" t="s">
        <v>11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>SUM(C238:J238)</f>
        <v>2</v>
      </c>
      <c r="O238" s="5" t="s">
        <v>11</v>
      </c>
      <c r="P238" s="5">
        <v>1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>
        <f>SUM(P238:V238)</f>
        <v>1</v>
      </c>
      <c r="AA238" s="5"/>
      <c r="AM238" s="5"/>
      <c r="AY238" s="5" t="s">
        <v>11</v>
      </c>
      <c r="AZ238">
        <f t="shared" ref="AZ238" si="334">AVERAGE(C238,P238)</f>
        <v>0.5</v>
      </c>
      <c r="BA238">
        <f t="shared" si="327"/>
        <v>1</v>
      </c>
      <c r="BB238">
        <f t="shared" si="328"/>
        <v>0</v>
      </c>
      <c r="BC238">
        <f t="shared" si="329"/>
        <v>0</v>
      </c>
      <c r="BD238">
        <f t="shared" si="330"/>
        <v>0</v>
      </c>
      <c r="BE238">
        <f t="shared" si="331"/>
        <v>0</v>
      </c>
      <c r="BF238">
        <f t="shared" si="332"/>
        <v>0</v>
      </c>
      <c r="BG238">
        <f t="shared" si="333"/>
        <v>0</v>
      </c>
      <c r="BH238">
        <f t="shared" ref="BH238" si="335">AVERAGE(K238,X238)</f>
        <v>1.5</v>
      </c>
    </row>
    <row r="239" spans="1:61">
      <c r="K239">
        <f>K237+K238</f>
        <v>36</v>
      </c>
      <c r="X239">
        <f>X237+X238</f>
        <v>52</v>
      </c>
      <c r="AY239" t="s">
        <v>12</v>
      </c>
    </row>
    <row r="240" spans="1:61">
      <c r="BH240">
        <f>SUM(BH237:BH239)</f>
        <v>44</v>
      </c>
      <c r="BI240">
        <f xml:space="preserve"> AVERAGE(K239,X239)</f>
        <v>44</v>
      </c>
    </row>
    <row r="241" spans="1:61">
      <c r="A241" t="s">
        <v>0</v>
      </c>
      <c r="B241" t="s">
        <v>75</v>
      </c>
      <c r="C241" t="s">
        <v>25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</row>
    <row r="242" spans="1:61">
      <c r="B242" t="s">
        <v>10</v>
      </c>
      <c r="C242">
        <v>4</v>
      </c>
      <c r="D242">
        <v>5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f>SUM(C242:J242)</f>
        <v>11</v>
      </c>
    </row>
    <row r="243" spans="1:61">
      <c r="B243" t="s">
        <v>11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f>SUM(C243:J243)</f>
        <v>3</v>
      </c>
    </row>
    <row r="244" spans="1:61">
      <c r="K244">
        <f>K242+K243</f>
        <v>14</v>
      </c>
    </row>
    <row r="245" spans="1:61"/>
    <row r="246" spans="1:61" ht="15.95">
      <c r="A246" t="s">
        <v>0</v>
      </c>
      <c r="B246" t="s">
        <v>76</v>
      </c>
      <c r="C246" t="s">
        <v>25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N246" t="s">
        <v>13</v>
      </c>
      <c r="O246" s="5" t="s">
        <v>76</v>
      </c>
      <c r="P246" t="s">
        <v>25</v>
      </c>
      <c r="Q246" s="5" t="s">
        <v>14</v>
      </c>
      <c r="R246" t="s">
        <v>4</v>
      </c>
      <c r="S246" s="5" t="s">
        <v>5</v>
      </c>
      <c r="T246" s="5" t="s">
        <v>6</v>
      </c>
      <c r="U246" s="5" t="s">
        <v>7</v>
      </c>
      <c r="V246" s="5" t="s">
        <v>8</v>
      </c>
      <c r="W246" t="s">
        <v>9</v>
      </c>
      <c r="AA246" s="5"/>
      <c r="AM246" s="5"/>
      <c r="AX246" t="s">
        <v>26</v>
      </c>
      <c r="AY246" s="5" t="s">
        <v>76</v>
      </c>
      <c r="AZ246" t="s">
        <v>25</v>
      </c>
      <c r="BA246" t="s">
        <v>3</v>
      </c>
      <c r="BB246" t="s">
        <v>4</v>
      </c>
      <c r="BC246" t="s">
        <v>5</v>
      </c>
      <c r="BD246" t="s">
        <v>6</v>
      </c>
      <c r="BE246" t="s">
        <v>7</v>
      </c>
      <c r="BF246" t="s">
        <v>8</v>
      </c>
      <c r="BG246" t="s">
        <v>9</v>
      </c>
    </row>
    <row r="247" spans="1:61" ht="15.95">
      <c r="B247" t="s">
        <v>10</v>
      </c>
      <c r="C247">
        <v>22</v>
      </c>
      <c r="D247">
        <v>7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f>SUM(C247:J247)</f>
        <v>32</v>
      </c>
      <c r="O247" s="5" t="s">
        <v>10</v>
      </c>
      <c r="P247" s="5">
        <v>16</v>
      </c>
      <c r="Q247" s="5">
        <v>2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2</v>
      </c>
      <c r="X247">
        <f>SUM(P247:W247)</f>
        <v>20</v>
      </c>
      <c r="AA247" s="5"/>
      <c r="AM247" s="5"/>
      <c r="AY247" s="5" t="s">
        <v>10</v>
      </c>
      <c r="AZ247">
        <f>AVERAGE(C247,P247)</f>
        <v>19</v>
      </c>
      <c r="BA247">
        <f t="shared" ref="BA247:BA248" si="336">AVERAGE(D247,Q247)</f>
        <v>4.5</v>
      </c>
      <c r="BB247">
        <f t="shared" ref="BB247:BB248" si="337">AVERAGE(E247,R247)</f>
        <v>0</v>
      </c>
      <c r="BC247">
        <f t="shared" ref="BC247:BC248" si="338">AVERAGE(F247,S247)</f>
        <v>1.5</v>
      </c>
      <c r="BD247">
        <f t="shared" ref="BD247:BD248" si="339">AVERAGE(G247,T247)</f>
        <v>0</v>
      </c>
      <c r="BE247">
        <f t="shared" ref="BE247:BE248" si="340">AVERAGE(H247,U247)</f>
        <v>0</v>
      </c>
      <c r="BF247">
        <f t="shared" ref="BF247:BF248" si="341">AVERAGE(I247,V247)</f>
        <v>0</v>
      </c>
      <c r="BG247">
        <f t="shared" ref="BG247:BG248" si="342">AVERAGE(J247,W247)</f>
        <v>1</v>
      </c>
      <c r="BH247">
        <f>AVERAGE(K247,X247)</f>
        <v>26</v>
      </c>
    </row>
    <row r="248" spans="1:61" ht="15.95">
      <c r="B248" t="s">
        <v>11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f>SUM(C248:J248)</f>
        <v>1</v>
      </c>
      <c r="O248" s="5" t="s">
        <v>11</v>
      </c>
      <c r="P248" s="5">
        <v>4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>
        <f>SUM(P248:V248)</f>
        <v>4</v>
      </c>
      <c r="AA248" s="5"/>
      <c r="AM248" s="5"/>
      <c r="AY248" s="5" t="s">
        <v>11</v>
      </c>
      <c r="AZ248">
        <f t="shared" ref="AZ248" si="343">AVERAGE(C248,P248)</f>
        <v>2</v>
      </c>
      <c r="BA248">
        <f t="shared" si="336"/>
        <v>0</v>
      </c>
      <c r="BB248">
        <f t="shared" si="337"/>
        <v>0</v>
      </c>
      <c r="BC248">
        <f t="shared" si="338"/>
        <v>0</v>
      </c>
      <c r="BD248">
        <f t="shared" si="339"/>
        <v>0.5</v>
      </c>
      <c r="BE248">
        <f t="shared" si="340"/>
        <v>0</v>
      </c>
      <c r="BF248">
        <f t="shared" si="341"/>
        <v>0</v>
      </c>
      <c r="BG248">
        <f t="shared" si="342"/>
        <v>0</v>
      </c>
      <c r="BH248">
        <f t="shared" ref="BH248" si="344">AVERAGE(K248,X248)</f>
        <v>2.5</v>
      </c>
    </row>
    <row r="249" spans="1:61">
      <c r="K249">
        <f>K247+K248</f>
        <v>33</v>
      </c>
      <c r="X249">
        <f>X247+X248</f>
        <v>24</v>
      </c>
      <c r="AY249" t="s">
        <v>12</v>
      </c>
    </row>
    <row r="250" spans="1:61">
      <c r="BH250">
        <f>SUM(BH247:BH249)</f>
        <v>28.5</v>
      </c>
      <c r="BI250">
        <f xml:space="preserve"> AVERAGE(K249,X249)</f>
        <v>28.5</v>
      </c>
    </row>
    <row r="251" spans="1:61" ht="15.95">
      <c r="A251" t="s">
        <v>0</v>
      </c>
      <c r="B251" t="s">
        <v>77</v>
      </c>
      <c r="C251" t="s">
        <v>25</v>
      </c>
      <c r="D251" t="s">
        <v>3</v>
      </c>
      <c r="E251" t="s">
        <v>4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N251" t="s">
        <v>13</v>
      </c>
      <c r="O251" s="5" t="s">
        <v>77</v>
      </c>
      <c r="P251" t="s">
        <v>25</v>
      </c>
      <c r="Q251" s="5" t="s">
        <v>14</v>
      </c>
      <c r="R251" t="s">
        <v>4</v>
      </c>
      <c r="S251" s="5" t="s">
        <v>5</v>
      </c>
      <c r="T251" s="5" t="s">
        <v>6</v>
      </c>
      <c r="U251" s="5" t="s">
        <v>7</v>
      </c>
      <c r="V251" s="5" t="s">
        <v>8</v>
      </c>
      <c r="W251" t="s">
        <v>9</v>
      </c>
      <c r="AA251" s="5"/>
      <c r="AM251" s="5"/>
      <c r="AX251" t="s">
        <v>26</v>
      </c>
      <c r="AY251" s="5" t="s">
        <v>77</v>
      </c>
      <c r="AZ251" t="s">
        <v>25</v>
      </c>
      <c r="BA251" t="s">
        <v>3</v>
      </c>
      <c r="BB251" t="s">
        <v>4</v>
      </c>
      <c r="BC251" t="s">
        <v>5</v>
      </c>
      <c r="BD251" t="s">
        <v>6</v>
      </c>
      <c r="BE251" t="s">
        <v>7</v>
      </c>
      <c r="BF251" t="s">
        <v>8</v>
      </c>
      <c r="BG251" t="s">
        <v>9</v>
      </c>
    </row>
    <row r="252" spans="1:61" ht="15.95">
      <c r="B252" t="s">
        <v>10</v>
      </c>
      <c r="C252">
        <v>16</v>
      </c>
      <c r="D252">
        <v>2</v>
      </c>
      <c r="E252">
        <v>0</v>
      </c>
      <c r="F252">
        <v>4</v>
      </c>
      <c r="G252">
        <v>1</v>
      </c>
      <c r="H252">
        <v>0</v>
      </c>
      <c r="I252">
        <v>0</v>
      </c>
      <c r="J252">
        <v>0</v>
      </c>
      <c r="K252">
        <f>SUM(C252:J252)</f>
        <v>23</v>
      </c>
      <c r="O252" s="5" t="s">
        <v>10</v>
      </c>
      <c r="P252" s="5">
        <v>13</v>
      </c>
      <c r="Q252" s="5">
        <v>0</v>
      </c>
      <c r="R252" s="5">
        <v>1</v>
      </c>
      <c r="S252" s="5">
        <v>3</v>
      </c>
      <c r="T252" s="5">
        <v>0</v>
      </c>
      <c r="U252" s="5">
        <v>0</v>
      </c>
      <c r="V252" s="5">
        <v>0</v>
      </c>
      <c r="W252" s="5">
        <v>0</v>
      </c>
      <c r="X252">
        <f>SUM(P252:W252)</f>
        <v>17</v>
      </c>
      <c r="AA252" s="5"/>
      <c r="AM252" s="5"/>
      <c r="AY252" s="5" t="s">
        <v>10</v>
      </c>
      <c r="AZ252">
        <f>AVERAGE(C252,P252)</f>
        <v>14.5</v>
      </c>
      <c r="BA252">
        <f t="shared" ref="BA252:BA253" si="345">AVERAGE(D252,Q252)</f>
        <v>1</v>
      </c>
      <c r="BB252">
        <f t="shared" ref="BB252:BB253" si="346">AVERAGE(E252,R252)</f>
        <v>0.5</v>
      </c>
      <c r="BC252">
        <f t="shared" ref="BC252:BC253" si="347">AVERAGE(F252,S252)</f>
        <v>3.5</v>
      </c>
      <c r="BD252">
        <f t="shared" ref="BD252:BD253" si="348">AVERAGE(G252,T252)</f>
        <v>0.5</v>
      </c>
      <c r="BE252">
        <f t="shared" ref="BE252:BE253" si="349">AVERAGE(H252,U252)</f>
        <v>0</v>
      </c>
      <c r="BF252">
        <f t="shared" ref="BF252:BF253" si="350">AVERAGE(I252,V252)</f>
        <v>0</v>
      </c>
      <c r="BG252">
        <f t="shared" ref="BG252:BG253" si="351">AVERAGE(J252,W252)</f>
        <v>0</v>
      </c>
      <c r="BH252">
        <f>AVERAGE(K252,X252)</f>
        <v>20</v>
      </c>
    </row>
    <row r="253" spans="1:61" ht="15.95">
      <c r="B253" t="s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>SUM(C253:J253)</f>
        <v>0</v>
      </c>
      <c r="O253" s="5" t="s">
        <v>11</v>
      </c>
      <c r="P253" s="5">
        <v>2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>
        <v>2</v>
      </c>
      <c r="AA253" s="5"/>
      <c r="AM253" s="5"/>
      <c r="AY253" s="5" t="s">
        <v>11</v>
      </c>
      <c r="AZ253">
        <f t="shared" ref="AZ253" si="352">AVERAGE(C253,P253)</f>
        <v>1</v>
      </c>
      <c r="BA253">
        <f t="shared" si="345"/>
        <v>0</v>
      </c>
      <c r="BB253">
        <f t="shared" si="346"/>
        <v>0</v>
      </c>
      <c r="BC253">
        <f t="shared" si="347"/>
        <v>0</v>
      </c>
      <c r="BD253">
        <f t="shared" si="348"/>
        <v>0</v>
      </c>
      <c r="BE253">
        <f t="shared" si="349"/>
        <v>0</v>
      </c>
      <c r="BF253">
        <f t="shared" si="350"/>
        <v>0</v>
      </c>
      <c r="BG253">
        <f t="shared" si="351"/>
        <v>0</v>
      </c>
      <c r="BH253">
        <f t="shared" ref="BH253" si="353">AVERAGE(K253,X253)</f>
        <v>1</v>
      </c>
    </row>
    <row r="254" spans="1:61">
      <c r="K254">
        <f>K252+K253</f>
        <v>23</v>
      </c>
      <c r="X254">
        <f>X252+X253</f>
        <v>19</v>
      </c>
      <c r="AY254" t="s">
        <v>12</v>
      </c>
    </row>
    <row r="255" spans="1:61">
      <c r="BH255">
        <f>SUM(BH252:BH254)</f>
        <v>21</v>
      </c>
      <c r="BI255">
        <f xml:space="preserve"> AVERAGE(K254,X254)</f>
        <v>21</v>
      </c>
    </row>
    <row r="256" spans="1:61" ht="15.95">
      <c r="A256" t="s">
        <v>0</v>
      </c>
      <c r="B256" t="s">
        <v>78</v>
      </c>
      <c r="C256" t="s">
        <v>25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N256" t="s">
        <v>13</v>
      </c>
      <c r="O256" s="5" t="s">
        <v>78</v>
      </c>
      <c r="P256" t="s">
        <v>25</v>
      </c>
      <c r="Q256" s="5" t="s">
        <v>14</v>
      </c>
      <c r="R256" t="s">
        <v>4</v>
      </c>
      <c r="S256" s="5" t="s">
        <v>5</v>
      </c>
      <c r="T256" s="5" t="s">
        <v>6</v>
      </c>
      <c r="U256" s="5" t="s">
        <v>7</v>
      </c>
      <c r="V256" s="5" t="s">
        <v>8</v>
      </c>
      <c r="W256" t="s">
        <v>9</v>
      </c>
      <c r="AA256" s="5"/>
      <c r="AM256" s="5"/>
      <c r="AX256" t="s">
        <v>26</v>
      </c>
      <c r="AY256" s="5" t="s">
        <v>78</v>
      </c>
      <c r="AZ256" t="s">
        <v>25</v>
      </c>
      <c r="BA256" t="s">
        <v>3</v>
      </c>
      <c r="BB256" t="s">
        <v>4</v>
      </c>
      <c r="BC256" t="s">
        <v>5</v>
      </c>
      <c r="BD256" t="s">
        <v>6</v>
      </c>
      <c r="BE256" t="s">
        <v>7</v>
      </c>
      <c r="BF256" t="s">
        <v>8</v>
      </c>
      <c r="BG256" t="s">
        <v>9</v>
      </c>
    </row>
    <row r="257" spans="2:61" ht="15.95">
      <c r="B257" t="s">
        <v>10</v>
      </c>
      <c r="C257">
        <v>74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f>SUM(C257:J257)</f>
        <v>80</v>
      </c>
      <c r="O257" s="5" t="s">
        <v>10</v>
      </c>
      <c r="P257" s="5">
        <v>15</v>
      </c>
      <c r="Q257" s="5">
        <v>2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>
        <f>SUM(P257:W257)</f>
        <v>17</v>
      </c>
      <c r="AA257" s="5"/>
      <c r="AM257" s="5"/>
      <c r="AY257" s="5" t="s">
        <v>10</v>
      </c>
      <c r="AZ257">
        <f>AVERAGE(C257,P257)</f>
        <v>44.5</v>
      </c>
      <c r="BA257">
        <f t="shared" ref="BA257:BA258" si="354">AVERAGE(D257,Q257)</f>
        <v>3.5</v>
      </c>
      <c r="BB257">
        <f t="shared" ref="BB257:BB258" si="355">AVERAGE(E257,R257)</f>
        <v>0</v>
      </c>
      <c r="BC257">
        <f t="shared" ref="BC257:BC258" si="356">AVERAGE(F257,S257)</f>
        <v>0</v>
      </c>
      <c r="BD257">
        <f t="shared" ref="BD257:BD258" si="357">AVERAGE(G257,T257)</f>
        <v>0</v>
      </c>
      <c r="BE257">
        <f t="shared" ref="BE257:BE258" si="358">AVERAGE(H257,U257)</f>
        <v>0</v>
      </c>
      <c r="BF257">
        <f t="shared" ref="BF257:BF258" si="359">AVERAGE(I257,V257)</f>
        <v>0.5</v>
      </c>
      <c r="BG257">
        <f t="shared" ref="BG257:BG258" si="360">AVERAGE(J257,W257)</f>
        <v>0</v>
      </c>
      <c r="BH257">
        <f>AVERAGE(K257,X257)</f>
        <v>48.5</v>
      </c>
    </row>
    <row r="258" spans="2:61" ht="15.95">
      <c r="B258" t="s">
        <v>11</v>
      </c>
      <c r="C258">
        <v>1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f>SUM(C258:J258)</f>
        <v>3</v>
      </c>
      <c r="O258" s="5" t="s">
        <v>11</v>
      </c>
      <c r="P258" s="5">
        <v>3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2</v>
      </c>
      <c r="X258">
        <v>5</v>
      </c>
      <c r="AA258" s="5"/>
      <c r="AM258" s="5"/>
      <c r="AY258" s="5" t="s">
        <v>11</v>
      </c>
      <c r="AZ258">
        <f t="shared" ref="AZ258" si="361">AVERAGE(C258,P258)</f>
        <v>2</v>
      </c>
      <c r="BA258">
        <f t="shared" si="354"/>
        <v>1</v>
      </c>
      <c r="BB258">
        <f t="shared" si="355"/>
        <v>0</v>
      </c>
      <c r="BC258">
        <f t="shared" si="356"/>
        <v>0</v>
      </c>
      <c r="BD258">
        <f t="shared" si="357"/>
        <v>0</v>
      </c>
      <c r="BE258">
        <f t="shared" si="358"/>
        <v>0</v>
      </c>
      <c r="BF258">
        <f t="shared" si="359"/>
        <v>0</v>
      </c>
      <c r="BG258">
        <f t="shared" si="360"/>
        <v>1</v>
      </c>
      <c r="BH258">
        <f t="shared" ref="BH258" si="362">AVERAGE(K258,X258)</f>
        <v>4</v>
      </c>
    </row>
    <row r="259" spans="2:61">
      <c r="K259">
        <f>K257+K258</f>
        <v>83</v>
      </c>
      <c r="X259">
        <f>X257+X258</f>
        <v>22</v>
      </c>
      <c r="AY259" t="s">
        <v>12</v>
      </c>
    </row>
    <row r="260" spans="2:61">
      <c r="BH260">
        <f>SUM(BH257:BH259)</f>
        <v>52.5</v>
      </c>
      <c r="BI260">
        <f xml:space="preserve"> AVERAGE(K259,X259)</f>
        <v>52.5</v>
      </c>
    </row>
    <row r="261" spans="2:61" ht="15.95">
      <c r="Z261" t="s">
        <v>20</v>
      </c>
      <c r="AA261" s="5" t="s">
        <v>79</v>
      </c>
      <c r="AB261" t="s">
        <v>25</v>
      </c>
      <c r="AC261" t="s">
        <v>3</v>
      </c>
      <c r="AD261" t="s">
        <v>4</v>
      </c>
      <c r="AE261" t="s">
        <v>5</v>
      </c>
      <c r="AF261" t="s">
        <v>6</v>
      </c>
      <c r="AG261" t="s">
        <v>7</v>
      </c>
      <c r="AH261" t="s">
        <v>8</v>
      </c>
      <c r="AI261" t="s">
        <v>9</v>
      </c>
      <c r="AL261" t="s">
        <v>20</v>
      </c>
      <c r="AM261" s="5" t="s">
        <v>79</v>
      </c>
      <c r="AN261" t="s">
        <v>25</v>
      </c>
      <c r="AO261" t="s">
        <v>3</v>
      </c>
      <c r="AP261" t="s">
        <v>4</v>
      </c>
      <c r="AQ261" t="s">
        <v>5</v>
      </c>
      <c r="AR261" t="s">
        <v>6</v>
      </c>
      <c r="AS261" t="s">
        <v>7</v>
      </c>
      <c r="AT261" t="s">
        <v>8</v>
      </c>
      <c r="AU261" t="s">
        <v>9</v>
      </c>
      <c r="AX261" t="s">
        <v>26</v>
      </c>
      <c r="AY261" s="5" t="s">
        <v>79</v>
      </c>
      <c r="AZ261" t="s">
        <v>25</v>
      </c>
      <c r="BA261" t="s">
        <v>3</v>
      </c>
      <c r="BB261" t="s">
        <v>4</v>
      </c>
      <c r="BC261" t="s">
        <v>5</v>
      </c>
      <c r="BD261" t="s">
        <v>6</v>
      </c>
      <c r="BE261" t="s">
        <v>7</v>
      </c>
      <c r="BF261" t="s">
        <v>8</v>
      </c>
      <c r="BG261" t="s">
        <v>9</v>
      </c>
    </row>
    <row r="262" spans="2:61" ht="15.95">
      <c r="AA262" s="5" t="s">
        <v>10</v>
      </c>
      <c r="AB262">
        <v>46</v>
      </c>
      <c r="AC262">
        <v>5</v>
      </c>
      <c r="AD262">
        <v>0</v>
      </c>
      <c r="AE262">
        <v>7</v>
      </c>
      <c r="AF262">
        <v>2</v>
      </c>
      <c r="AG262">
        <v>0</v>
      </c>
      <c r="AH262">
        <v>0</v>
      </c>
      <c r="AI262">
        <v>1</v>
      </c>
      <c r="AJ262">
        <f>SUM(AB262:AI262)</f>
        <v>61</v>
      </c>
      <c r="AM262" s="5" t="s">
        <v>10</v>
      </c>
      <c r="AN262">
        <v>51</v>
      </c>
      <c r="AO262">
        <v>2</v>
      </c>
      <c r="AP262">
        <v>6</v>
      </c>
      <c r="AQ262">
        <v>4</v>
      </c>
      <c r="AR262">
        <v>0</v>
      </c>
      <c r="AS262">
        <v>1</v>
      </c>
      <c r="AT262">
        <v>0</v>
      </c>
      <c r="AU262">
        <v>0</v>
      </c>
      <c r="AV262">
        <f t="shared" ref="AV262:AV264" si="363">SUM(AN262:AU262)</f>
        <v>64</v>
      </c>
      <c r="AY262" s="5" t="s">
        <v>10</v>
      </c>
      <c r="AZ262">
        <f>AVERAGE(AB262,AN262)</f>
        <v>48.5</v>
      </c>
      <c r="BA262">
        <f t="shared" ref="BA262:BA264" si="364">AVERAGE(AC262,AO262)</f>
        <v>3.5</v>
      </c>
      <c r="BB262">
        <f t="shared" ref="BB262:BB264" si="365">AVERAGE(AD262,AP262)</f>
        <v>3</v>
      </c>
      <c r="BC262">
        <f t="shared" ref="BC262:BC264" si="366">AVERAGE(AE262,AQ262)</f>
        <v>5.5</v>
      </c>
      <c r="BD262">
        <f t="shared" ref="BD262:BD264" si="367">AVERAGE(AF262,AR262)</f>
        <v>1</v>
      </c>
      <c r="BE262">
        <f t="shared" ref="BE262:BE264" si="368">AVERAGE(AG262,AS262)</f>
        <v>0.5</v>
      </c>
      <c r="BF262">
        <f t="shared" ref="BF262:BF264" si="369">AVERAGE(AH262,AT262)</f>
        <v>0</v>
      </c>
      <c r="BG262">
        <f t="shared" ref="BG262:BG264" si="370">AVERAGE(AI262,AU262)</f>
        <v>0.5</v>
      </c>
      <c r="BH262">
        <f>AVERAGE(AJ262,AV262)</f>
        <v>62.5</v>
      </c>
    </row>
    <row r="263" spans="2:61" ht="15.95">
      <c r="AA263" s="5" t="s">
        <v>11</v>
      </c>
      <c r="AB263">
        <v>34</v>
      </c>
      <c r="AC263">
        <v>1</v>
      </c>
      <c r="AD263">
        <v>0</v>
      </c>
      <c r="AE263">
        <v>0</v>
      </c>
      <c r="AF263">
        <v>5</v>
      </c>
      <c r="AG263">
        <v>0</v>
      </c>
      <c r="AH263">
        <v>0</v>
      </c>
      <c r="AI263">
        <v>0</v>
      </c>
      <c r="AJ263">
        <f t="shared" ref="AJ263:AJ264" si="371">SUM(AB263:AI263)</f>
        <v>40</v>
      </c>
      <c r="AM263" s="5" t="s">
        <v>11</v>
      </c>
      <c r="AN263">
        <v>20</v>
      </c>
      <c r="AO263">
        <v>1</v>
      </c>
      <c r="AP263">
        <v>0</v>
      </c>
      <c r="AQ263">
        <v>0</v>
      </c>
      <c r="AR263">
        <v>6</v>
      </c>
      <c r="AS263">
        <v>0</v>
      </c>
      <c r="AT263">
        <v>0</v>
      </c>
      <c r="AU263">
        <v>0</v>
      </c>
      <c r="AV263">
        <f t="shared" si="363"/>
        <v>27</v>
      </c>
      <c r="AY263" s="5" t="s">
        <v>11</v>
      </c>
      <c r="AZ263">
        <f t="shared" ref="AZ263:AZ264" si="372">AVERAGE(AB263,AN263)</f>
        <v>27</v>
      </c>
      <c r="BA263">
        <f t="shared" si="364"/>
        <v>1</v>
      </c>
      <c r="BB263">
        <f t="shared" si="365"/>
        <v>0</v>
      </c>
      <c r="BC263">
        <f t="shared" si="366"/>
        <v>0</v>
      </c>
      <c r="BD263">
        <f t="shared" si="367"/>
        <v>5.5</v>
      </c>
      <c r="BE263">
        <f t="shared" si="368"/>
        <v>0</v>
      </c>
      <c r="BF263">
        <f t="shared" si="369"/>
        <v>0</v>
      </c>
      <c r="BG263">
        <f t="shared" si="370"/>
        <v>0</v>
      </c>
      <c r="BH263">
        <f t="shared" ref="BH263:BH264" si="373">AVERAGE(AJ263,AV263)</f>
        <v>33.5</v>
      </c>
    </row>
    <row r="264" spans="2:61">
      <c r="AA264" t="s">
        <v>12</v>
      </c>
      <c r="AB264">
        <v>16</v>
      </c>
      <c r="AC264">
        <v>0</v>
      </c>
      <c r="AD264">
        <v>0</v>
      </c>
      <c r="AE264">
        <v>0</v>
      </c>
      <c r="AF264">
        <v>9</v>
      </c>
      <c r="AG264">
        <v>0</v>
      </c>
      <c r="AH264">
        <v>0</v>
      </c>
      <c r="AI264">
        <v>0</v>
      </c>
      <c r="AJ264">
        <f t="shared" si="371"/>
        <v>25</v>
      </c>
      <c r="AK264">
        <f>AJ262+AJ263</f>
        <v>101</v>
      </c>
      <c r="AM264" t="s">
        <v>12</v>
      </c>
      <c r="AN264">
        <v>10</v>
      </c>
      <c r="AO264">
        <v>1</v>
      </c>
      <c r="AP264">
        <v>0</v>
      </c>
      <c r="AQ264">
        <v>0</v>
      </c>
      <c r="AR264">
        <v>6</v>
      </c>
      <c r="AS264">
        <v>0</v>
      </c>
      <c r="AT264">
        <v>0</v>
      </c>
      <c r="AU264">
        <v>0</v>
      </c>
      <c r="AV264">
        <f t="shared" si="363"/>
        <v>17</v>
      </c>
      <c r="AY264" t="s">
        <v>12</v>
      </c>
      <c r="AZ264">
        <f t="shared" si="372"/>
        <v>13</v>
      </c>
      <c r="BA264">
        <f t="shared" si="364"/>
        <v>0.5</v>
      </c>
      <c r="BB264">
        <f t="shared" si="365"/>
        <v>0</v>
      </c>
      <c r="BC264">
        <f t="shared" si="366"/>
        <v>0</v>
      </c>
      <c r="BD264">
        <f t="shared" si="367"/>
        <v>7.5</v>
      </c>
      <c r="BE264">
        <f t="shared" si="368"/>
        <v>0</v>
      </c>
      <c r="BF264">
        <f t="shared" si="369"/>
        <v>0</v>
      </c>
      <c r="BG264">
        <f t="shared" si="370"/>
        <v>0</v>
      </c>
      <c r="BH264">
        <f t="shared" si="373"/>
        <v>21</v>
      </c>
    </row>
    <row r="265" spans="2:61">
      <c r="AJ265">
        <f t="shared" ref="AJ265" si="374">SUM(AJ262:AJ264)</f>
        <v>126</v>
      </c>
      <c r="AV265">
        <f t="shared" ref="AV265" si="375">SUM(AV262:AV264)</f>
        <v>108</v>
      </c>
      <c r="BH265">
        <f>SUM(BH262:BH264)</f>
        <v>117</v>
      </c>
    </row>
    <row r="266" spans="2:61" ht="15.95">
      <c r="Z266" t="s">
        <v>20</v>
      </c>
      <c r="AA266" s="5" t="s">
        <v>80</v>
      </c>
      <c r="AB266" t="s">
        <v>25</v>
      </c>
      <c r="AC266" t="s">
        <v>3</v>
      </c>
      <c r="AD266" t="s">
        <v>4</v>
      </c>
      <c r="AE266" t="s">
        <v>5</v>
      </c>
      <c r="AF266" t="s">
        <v>6</v>
      </c>
      <c r="AG266" t="s">
        <v>7</v>
      </c>
      <c r="AH266" t="s">
        <v>8</v>
      </c>
      <c r="AI266" t="s">
        <v>9</v>
      </c>
      <c r="AL266" t="s">
        <v>20</v>
      </c>
      <c r="AM266" s="5" t="s">
        <v>80</v>
      </c>
      <c r="AN266" t="s">
        <v>25</v>
      </c>
      <c r="AO266" t="s">
        <v>3</v>
      </c>
      <c r="AP266" t="s">
        <v>4</v>
      </c>
      <c r="AQ266" t="s">
        <v>5</v>
      </c>
      <c r="AR266" t="s">
        <v>6</v>
      </c>
      <c r="AS266" t="s">
        <v>7</v>
      </c>
      <c r="AT266" t="s">
        <v>8</v>
      </c>
      <c r="AU266" t="s">
        <v>9</v>
      </c>
      <c r="AX266" t="s">
        <v>26</v>
      </c>
      <c r="AY266" s="5" t="s">
        <v>80</v>
      </c>
      <c r="AZ266" t="s">
        <v>25</v>
      </c>
      <c r="BA266" t="s">
        <v>3</v>
      </c>
      <c r="BB266" t="s">
        <v>4</v>
      </c>
      <c r="BC266" t="s">
        <v>5</v>
      </c>
      <c r="BD266" t="s">
        <v>6</v>
      </c>
      <c r="BE266" t="s">
        <v>7</v>
      </c>
      <c r="BF266" t="s">
        <v>8</v>
      </c>
      <c r="BG266" t="s">
        <v>9</v>
      </c>
    </row>
    <row r="267" spans="2:61" ht="15.95">
      <c r="AA267" s="5" t="s">
        <v>10</v>
      </c>
      <c r="AB267">
        <v>43</v>
      </c>
      <c r="AC267">
        <v>1</v>
      </c>
      <c r="AD267">
        <v>0</v>
      </c>
      <c r="AE267">
        <v>3</v>
      </c>
      <c r="AF267">
        <v>3</v>
      </c>
      <c r="AG267">
        <v>0</v>
      </c>
      <c r="AH267">
        <v>0</v>
      </c>
      <c r="AI267">
        <v>0</v>
      </c>
      <c r="AJ267">
        <f>SUM(AB267:AI267)</f>
        <v>50</v>
      </c>
      <c r="AM267" s="5" t="s">
        <v>10</v>
      </c>
      <c r="AY267" s="5" t="s">
        <v>10</v>
      </c>
      <c r="AZ267">
        <f>AVERAGE(AB267,AN267)</f>
        <v>43</v>
      </c>
      <c r="BA267">
        <f t="shared" ref="BA267:BA269" si="376">AVERAGE(AC267,AO267)</f>
        <v>1</v>
      </c>
      <c r="BB267">
        <f t="shared" ref="BB267:BB269" si="377">AVERAGE(AD267,AP267)</f>
        <v>0</v>
      </c>
      <c r="BC267">
        <f t="shared" ref="BC267:BC269" si="378">AVERAGE(AE267,AQ267)</f>
        <v>3</v>
      </c>
      <c r="BD267">
        <f t="shared" ref="BD267:BD269" si="379">AVERAGE(AF267,AR267)</f>
        <v>3</v>
      </c>
      <c r="BE267">
        <f t="shared" ref="BE267:BE269" si="380">AVERAGE(AG267,AS267)</f>
        <v>0</v>
      </c>
      <c r="BF267">
        <f t="shared" ref="BF267:BF269" si="381">AVERAGE(AH267,AT267)</f>
        <v>0</v>
      </c>
      <c r="BG267">
        <f t="shared" ref="BG267:BG269" si="382">AVERAGE(AI267,AU267)</f>
        <v>0</v>
      </c>
      <c r="BH267">
        <f>AVERAGE(AJ267,AV267)</f>
        <v>50</v>
      </c>
    </row>
    <row r="268" spans="2:61" ht="15.95">
      <c r="AA268" s="5" t="s">
        <v>11</v>
      </c>
      <c r="AB268">
        <v>31</v>
      </c>
      <c r="AC268">
        <v>5</v>
      </c>
      <c r="AD268">
        <v>0</v>
      </c>
      <c r="AE268">
        <v>0</v>
      </c>
      <c r="AF268">
        <v>11</v>
      </c>
      <c r="AG268">
        <v>0</v>
      </c>
      <c r="AH268">
        <v>0</v>
      </c>
      <c r="AI268">
        <v>0</v>
      </c>
      <c r="AJ268">
        <f t="shared" ref="AJ268:AJ269" si="383">SUM(AB268:AI268)</f>
        <v>47</v>
      </c>
      <c r="AM268" s="5" t="s">
        <v>11</v>
      </c>
      <c r="AY268" s="5" t="s">
        <v>11</v>
      </c>
      <c r="AZ268">
        <f t="shared" ref="AZ268:AZ269" si="384">AVERAGE(AB268,AN268)</f>
        <v>31</v>
      </c>
      <c r="BA268">
        <f t="shared" si="376"/>
        <v>5</v>
      </c>
      <c r="BB268">
        <f t="shared" si="377"/>
        <v>0</v>
      </c>
      <c r="BC268">
        <f t="shared" si="378"/>
        <v>0</v>
      </c>
      <c r="BD268">
        <f t="shared" si="379"/>
        <v>11</v>
      </c>
      <c r="BE268">
        <f t="shared" si="380"/>
        <v>0</v>
      </c>
      <c r="BF268">
        <f t="shared" si="381"/>
        <v>0</v>
      </c>
      <c r="BG268">
        <f t="shared" si="382"/>
        <v>0</v>
      </c>
      <c r="BH268">
        <f t="shared" ref="BH268:BH269" si="385">AVERAGE(AJ268,AV268)</f>
        <v>47</v>
      </c>
    </row>
    <row r="269" spans="2:61">
      <c r="AA269" t="s">
        <v>12</v>
      </c>
      <c r="AB269">
        <v>16</v>
      </c>
      <c r="AC269">
        <v>1</v>
      </c>
      <c r="AD269">
        <v>0</v>
      </c>
      <c r="AE269">
        <v>0</v>
      </c>
      <c r="AF269">
        <v>11</v>
      </c>
      <c r="AG269">
        <v>0</v>
      </c>
      <c r="AH269">
        <v>0</v>
      </c>
      <c r="AI269">
        <v>0</v>
      </c>
      <c r="AJ269">
        <f t="shared" si="383"/>
        <v>28</v>
      </c>
      <c r="AM269" t="s">
        <v>12</v>
      </c>
      <c r="AY269" t="s">
        <v>12</v>
      </c>
      <c r="AZ269">
        <f t="shared" si="384"/>
        <v>16</v>
      </c>
      <c r="BA269">
        <f t="shared" si="376"/>
        <v>1</v>
      </c>
      <c r="BB269">
        <f t="shared" si="377"/>
        <v>0</v>
      </c>
      <c r="BC269">
        <f t="shared" si="378"/>
        <v>0</v>
      </c>
      <c r="BD269">
        <f t="shared" si="379"/>
        <v>11</v>
      </c>
      <c r="BE269">
        <f t="shared" si="380"/>
        <v>0</v>
      </c>
      <c r="BF269">
        <f t="shared" si="381"/>
        <v>0</v>
      </c>
      <c r="BG269">
        <f t="shared" si="382"/>
        <v>0</v>
      </c>
      <c r="BH269">
        <f t="shared" si="385"/>
        <v>28</v>
      </c>
    </row>
    <row r="270" spans="2:61">
      <c r="AJ270">
        <f t="shared" ref="AJ270" si="386">SUM(AJ267:AJ269)</f>
        <v>125</v>
      </c>
      <c r="BH270">
        <f>SUM(BH267:BH269)</f>
        <v>125</v>
      </c>
    </row>
    <row r="271" spans="2:61" ht="15.95">
      <c r="Z271" t="s">
        <v>20</v>
      </c>
      <c r="AA271" s="5" t="s">
        <v>81</v>
      </c>
      <c r="AB271" t="s">
        <v>25</v>
      </c>
      <c r="AC271" t="s">
        <v>3</v>
      </c>
      <c r="AD271" t="s">
        <v>4</v>
      </c>
      <c r="AE271" t="s">
        <v>5</v>
      </c>
      <c r="AF271" t="s">
        <v>6</v>
      </c>
      <c r="AG271" t="s">
        <v>7</v>
      </c>
      <c r="AH271" t="s">
        <v>8</v>
      </c>
      <c r="AI271" t="s">
        <v>9</v>
      </c>
      <c r="AL271" t="s">
        <v>20</v>
      </c>
      <c r="AM271" s="5" t="s">
        <v>81</v>
      </c>
      <c r="AN271" t="s">
        <v>25</v>
      </c>
      <c r="AO271" t="s">
        <v>3</v>
      </c>
      <c r="AP271" t="s">
        <v>4</v>
      </c>
      <c r="AQ271" t="s">
        <v>5</v>
      </c>
      <c r="AR271" t="s">
        <v>6</v>
      </c>
      <c r="AS271" t="s">
        <v>7</v>
      </c>
      <c r="AT271" t="s">
        <v>8</v>
      </c>
      <c r="AU271" t="s">
        <v>9</v>
      </c>
      <c r="AX271" t="s">
        <v>26</v>
      </c>
      <c r="AY271" s="5" t="s">
        <v>81</v>
      </c>
      <c r="AZ271" t="s">
        <v>25</v>
      </c>
      <c r="BA271" t="s">
        <v>3</v>
      </c>
      <c r="BB271" t="s">
        <v>4</v>
      </c>
      <c r="BC271" t="s">
        <v>5</v>
      </c>
      <c r="BD271" t="s">
        <v>6</v>
      </c>
      <c r="BE271" t="s">
        <v>7</v>
      </c>
      <c r="BF271" t="s">
        <v>8</v>
      </c>
      <c r="BG271" t="s">
        <v>9</v>
      </c>
    </row>
    <row r="272" spans="2:61" ht="15.95">
      <c r="AA272" s="5" t="s">
        <v>10</v>
      </c>
      <c r="AB272">
        <v>49</v>
      </c>
      <c r="AC272">
        <v>5</v>
      </c>
      <c r="AD272">
        <v>0</v>
      </c>
      <c r="AE272">
        <v>1</v>
      </c>
      <c r="AF272">
        <v>2</v>
      </c>
      <c r="AG272">
        <v>0</v>
      </c>
      <c r="AH272">
        <v>0</v>
      </c>
      <c r="AI272">
        <v>1</v>
      </c>
      <c r="AJ272">
        <f>SUM(AB272:AI272)</f>
        <v>58</v>
      </c>
      <c r="AM272" s="5" t="s">
        <v>10</v>
      </c>
      <c r="AY272" s="5" t="s">
        <v>10</v>
      </c>
      <c r="AZ272">
        <f>AVERAGE(AB272,AN272)</f>
        <v>49</v>
      </c>
      <c r="BA272">
        <f t="shared" ref="BA272:BA274" si="387">AVERAGE(AC272,AO272)</f>
        <v>5</v>
      </c>
      <c r="BB272">
        <f t="shared" ref="BB272:BB274" si="388">AVERAGE(AD272,AP272)</f>
        <v>0</v>
      </c>
      <c r="BC272">
        <f t="shared" ref="BC272:BC274" si="389">AVERAGE(AE272,AQ272)</f>
        <v>1</v>
      </c>
      <c r="BD272">
        <f t="shared" ref="BD272:BD274" si="390">AVERAGE(AF272,AR272)</f>
        <v>2</v>
      </c>
      <c r="BE272">
        <f t="shared" ref="BE272:BE274" si="391">AVERAGE(AG272,AS272)</f>
        <v>0</v>
      </c>
      <c r="BF272">
        <f t="shared" ref="BF272:BF274" si="392">AVERAGE(AH272,AT272)</f>
        <v>0</v>
      </c>
      <c r="BG272">
        <f t="shared" ref="BG272:BG274" si="393">AVERAGE(AI272,AU272)</f>
        <v>1</v>
      </c>
      <c r="BH272">
        <f>AVERAGE(AJ272,AV272)</f>
        <v>58</v>
      </c>
    </row>
    <row r="273" spans="26:60" ht="15.95">
      <c r="AA273" s="5" t="s">
        <v>11</v>
      </c>
      <c r="AB273">
        <v>24</v>
      </c>
      <c r="AC273">
        <v>3</v>
      </c>
      <c r="AD273">
        <v>0</v>
      </c>
      <c r="AE273">
        <v>0</v>
      </c>
      <c r="AF273">
        <v>6</v>
      </c>
      <c r="AG273">
        <v>0</v>
      </c>
      <c r="AH273">
        <v>0</v>
      </c>
      <c r="AI273">
        <v>0</v>
      </c>
      <c r="AJ273">
        <f t="shared" ref="AJ273:AJ274" si="394">SUM(AB273:AI273)</f>
        <v>33</v>
      </c>
      <c r="AM273" s="5" t="s">
        <v>11</v>
      </c>
      <c r="AY273" s="5" t="s">
        <v>11</v>
      </c>
      <c r="AZ273">
        <f t="shared" ref="AZ273:AZ274" si="395">AVERAGE(AB273,AN273)</f>
        <v>24</v>
      </c>
      <c r="BA273">
        <f t="shared" si="387"/>
        <v>3</v>
      </c>
      <c r="BB273">
        <f t="shared" si="388"/>
        <v>0</v>
      </c>
      <c r="BC273">
        <f t="shared" si="389"/>
        <v>0</v>
      </c>
      <c r="BD273">
        <f t="shared" si="390"/>
        <v>6</v>
      </c>
      <c r="BE273">
        <f t="shared" si="391"/>
        <v>0</v>
      </c>
      <c r="BF273">
        <f t="shared" si="392"/>
        <v>0</v>
      </c>
      <c r="BG273">
        <f t="shared" si="393"/>
        <v>0</v>
      </c>
      <c r="BH273">
        <f t="shared" ref="BH273:BH274" si="396">AVERAGE(AJ273,AV273)</f>
        <v>33</v>
      </c>
    </row>
    <row r="274" spans="26:60">
      <c r="AA274" t="s">
        <v>12</v>
      </c>
      <c r="AB274">
        <v>10</v>
      </c>
      <c r="AC274">
        <v>0</v>
      </c>
      <c r="AD274">
        <v>0</v>
      </c>
      <c r="AE274">
        <v>0</v>
      </c>
      <c r="AF274">
        <v>9</v>
      </c>
      <c r="AG274">
        <v>0</v>
      </c>
      <c r="AH274">
        <v>0</v>
      </c>
      <c r="AI274">
        <v>0</v>
      </c>
      <c r="AJ274">
        <f t="shared" si="394"/>
        <v>19</v>
      </c>
      <c r="AM274" t="s">
        <v>12</v>
      </c>
      <c r="AY274" t="s">
        <v>12</v>
      </c>
      <c r="AZ274">
        <f t="shared" si="395"/>
        <v>10</v>
      </c>
      <c r="BA274">
        <f t="shared" si="387"/>
        <v>0</v>
      </c>
      <c r="BB274">
        <f t="shared" si="388"/>
        <v>0</v>
      </c>
      <c r="BC274">
        <f t="shared" si="389"/>
        <v>0</v>
      </c>
      <c r="BD274">
        <f t="shared" si="390"/>
        <v>9</v>
      </c>
      <c r="BE274">
        <f t="shared" si="391"/>
        <v>0</v>
      </c>
      <c r="BF274">
        <f t="shared" si="392"/>
        <v>0</v>
      </c>
      <c r="BG274">
        <f t="shared" si="393"/>
        <v>0</v>
      </c>
      <c r="BH274">
        <f t="shared" si="396"/>
        <v>19</v>
      </c>
    </row>
    <row r="275" spans="26:60">
      <c r="AJ275">
        <f t="shared" ref="AJ275" si="397">SUM(AJ272:AJ274)</f>
        <v>110</v>
      </c>
      <c r="BH275">
        <f>SUM(BH272:BH274)</f>
        <v>110</v>
      </c>
    </row>
    <row r="276" spans="26:60" ht="15.95">
      <c r="Z276" t="s">
        <v>20</v>
      </c>
      <c r="AA276" s="5" t="s">
        <v>82</v>
      </c>
      <c r="AB276" t="s">
        <v>25</v>
      </c>
      <c r="AC276" t="s">
        <v>3</v>
      </c>
      <c r="AD276" t="s">
        <v>4</v>
      </c>
      <c r="AE276" t="s">
        <v>5</v>
      </c>
      <c r="AF276" t="s">
        <v>6</v>
      </c>
      <c r="AG276" t="s">
        <v>7</v>
      </c>
      <c r="AH276" t="s">
        <v>8</v>
      </c>
      <c r="AI276" t="s">
        <v>9</v>
      </c>
      <c r="AL276" t="s">
        <v>20</v>
      </c>
      <c r="AM276" s="5" t="s">
        <v>82</v>
      </c>
      <c r="AN276" t="s">
        <v>25</v>
      </c>
      <c r="AO276" t="s">
        <v>3</v>
      </c>
      <c r="AP276" t="s">
        <v>4</v>
      </c>
      <c r="AQ276" t="s">
        <v>5</v>
      </c>
      <c r="AR276" t="s">
        <v>6</v>
      </c>
      <c r="AS276" t="s">
        <v>7</v>
      </c>
      <c r="AT276" t="s">
        <v>8</v>
      </c>
      <c r="AU276" t="s">
        <v>9</v>
      </c>
      <c r="AX276" t="s">
        <v>26</v>
      </c>
      <c r="AY276" s="5" t="s">
        <v>82</v>
      </c>
      <c r="AZ276" t="s">
        <v>25</v>
      </c>
      <c r="BA276" t="s">
        <v>3</v>
      </c>
      <c r="BB276" t="s">
        <v>4</v>
      </c>
      <c r="BC276" t="s">
        <v>5</v>
      </c>
      <c r="BD276" t="s">
        <v>6</v>
      </c>
      <c r="BE276" t="s">
        <v>7</v>
      </c>
      <c r="BF276" t="s">
        <v>8</v>
      </c>
      <c r="BG276" t="s">
        <v>9</v>
      </c>
    </row>
    <row r="277" spans="26:60" ht="15.95">
      <c r="AA277" s="5" t="s">
        <v>10</v>
      </c>
      <c r="AB277">
        <v>40</v>
      </c>
      <c r="AC277">
        <v>2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f t="shared" ref="AJ277:AJ284" si="398">SUM(AB277:AI277)</f>
        <v>44</v>
      </c>
      <c r="AM277" s="5" t="s">
        <v>10</v>
      </c>
      <c r="AY277" s="5" t="s">
        <v>10</v>
      </c>
      <c r="AZ277">
        <f>AVERAGE(AB277,AN277)</f>
        <v>40</v>
      </c>
      <c r="BA277">
        <f t="shared" ref="BA277:BA279" si="399">AVERAGE(AC277,AO277)</f>
        <v>2</v>
      </c>
      <c r="BB277">
        <f t="shared" ref="BB277:BB279" si="400">AVERAGE(AD277,AP277)</f>
        <v>0</v>
      </c>
      <c r="BC277">
        <f t="shared" ref="BC277:BC279" si="401">AVERAGE(AE277,AQ277)</f>
        <v>0</v>
      </c>
      <c r="BD277">
        <f t="shared" ref="BD277:BD279" si="402">AVERAGE(AF277,AR277)</f>
        <v>1</v>
      </c>
      <c r="BE277">
        <f t="shared" ref="BE277:BE279" si="403">AVERAGE(AG277,AS277)</f>
        <v>0</v>
      </c>
      <c r="BF277">
        <f t="shared" ref="BF277:BF279" si="404">AVERAGE(AH277,AT277)</f>
        <v>1</v>
      </c>
      <c r="BG277">
        <f t="shared" ref="BG277:BG279" si="405">AVERAGE(AI277,AU277)</f>
        <v>0</v>
      </c>
      <c r="BH277">
        <f>AVERAGE(AJ277,AV277)</f>
        <v>44</v>
      </c>
    </row>
    <row r="278" spans="26:60" ht="15.95">
      <c r="AA278" s="5" t="s">
        <v>11</v>
      </c>
      <c r="AB278">
        <v>46</v>
      </c>
      <c r="AC278">
        <v>4</v>
      </c>
      <c r="AD278">
        <v>0</v>
      </c>
      <c r="AE278">
        <v>0</v>
      </c>
      <c r="AF278">
        <v>14</v>
      </c>
      <c r="AG278">
        <v>0</v>
      </c>
      <c r="AH278">
        <v>0</v>
      </c>
      <c r="AI278">
        <v>0</v>
      </c>
      <c r="AJ278">
        <f t="shared" si="398"/>
        <v>64</v>
      </c>
      <c r="AM278" s="5" t="s">
        <v>11</v>
      </c>
      <c r="AY278" s="5" t="s">
        <v>11</v>
      </c>
      <c r="AZ278">
        <f t="shared" ref="AZ278:AZ279" si="406">AVERAGE(AB278,AN278)</f>
        <v>46</v>
      </c>
      <c r="BA278">
        <f t="shared" si="399"/>
        <v>4</v>
      </c>
      <c r="BB278">
        <f t="shared" si="400"/>
        <v>0</v>
      </c>
      <c r="BC278">
        <f t="shared" si="401"/>
        <v>0</v>
      </c>
      <c r="BD278">
        <f t="shared" si="402"/>
        <v>14</v>
      </c>
      <c r="BE278">
        <f t="shared" si="403"/>
        <v>0</v>
      </c>
      <c r="BF278">
        <f t="shared" si="404"/>
        <v>0</v>
      </c>
      <c r="BG278">
        <f t="shared" si="405"/>
        <v>0</v>
      </c>
      <c r="BH278">
        <f t="shared" ref="BH278:BH279" si="407">AVERAGE(AJ278,AV278)</f>
        <v>64</v>
      </c>
    </row>
    <row r="279" spans="26:60">
      <c r="AA279" t="s">
        <v>12</v>
      </c>
      <c r="AB279">
        <v>12</v>
      </c>
      <c r="AC279">
        <v>0</v>
      </c>
      <c r="AD279">
        <v>0</v>
      </c>
      <c r="AE279">
        <v>0</v>
      </c>
      <c r="AF279">
        <v>19</v>
      </c>
      <c r="AG279">
        <v>0</v>
      </c>
      <c r="AH279">
        <v>0</v>
      </c>
      <c r="AI279">
        <v>0</v>
      </c>
      <c r="AJ279">
        <f t="shared" si="398"/>
        <v>31</v>
      </c>
      <c r="AM279" t="s">
        <v>12</v>
      </c>
      <c r="AY279" t="s">
        <v>12</v>
      </c>
      <c r="AZ279">
        <f t="shared" si="406"/>
        <v>12</v>
      </c>
      <c r="BA279">
        <f t="shared" si="399"/>
        <v>0</v>
      </c>
      <c r="BB279">
        <f t="shared" si="400"/>
        <v>0</v>
      </c>
      <c r="BC279">
        <f t="shared" si="401"/>
        <v>0</v>
      </c>
      <c r="BD279">
        <f t="shared" si="402"/>
        <v>19</v>
      </c>
      <c r="BE279">
        <f t="shared" si="403"/>
        <v>0</v>
      </c>
      <c r="BF279">
        <f t="shared" si="404"/>
        <v>0</v>
      </c>
      <c r="BG279">
        <f t="shared" si="405"/>
        <v>0</v>
      </c>
      <c r="BH279">
        <f t="shared" si="407"/>
        <v>31</v>
      </c>
    </row>
    <row r="280" spans="26:60">
      <c r="AJ280">
        <f t="shared" ref="AJ280:AJ285" si="408">SUM(AJ277:AJ279)</f>
        <v>139</v>
      </c>
      <c r="BH280">
        <f>SUM(BH277:BH279)</f>
        <v>139</v>
      </c>
    </row>
    <row r="281" spans="26:60" ht="15.95">
      <c r="Z281" t="s">
        <v>20</v>
      </c>
      <c r="AA281" s="5" t="s">
        <v>83</v>
      </c>
      <c r="AB281" t="s">
        <v>25</v>
      </c>
      <c r="AC281" t="s">
        <v>3</v>
      </c>
      <c r="AD281" t="s">
        <v>4</v>
      </c>
      <c r="AE281" t="s">
        <v>5</v>
      </c>
      <c r="AF281" t="s">
        <v>6</v>
      </c>
      <c r="AG281" t="s">
        <v>7</v>
      </c>
      <c r="AH281" t="s">
        <v>8</v>
      </c>
      <c r="AI281" t="s">
        <v>9</v>
      </c>
      <c r="AL281" t="s">
        <v>20</v>
      </c>
      <c r="AM281" s="5" t="s">
        <v>83</v>
      </c>
      <c r="AN281" t="s">
        <v>25</v>
      </c>
      <c r="AO281" t="s">
        <v>3</v>
      </c>
      <c r="AP281" t="s">
        <v>4</v>
      </c>
      <c r="AQ281" t="s">
        <v>5</v>
      </c>
      <c r="AR281" t="s">
        <v>6</v>
      </c>
      <c r="AS281" t="s">
        <v>7</v>
      </c>
      <c r="AT281" t="s">
        <v>8</v>
      </c>
      <c r="AU281" t="s">
        <v>9</v>
      </c>
      <c r="AX281" t="s">
        <v>26</v>
      </c>
      <c r="AY281" s="5" t="s">
        <v>83</v>
      </c>
      <c r="AZ281" t="s">
        <v>25</v>
      </c>
      <c r="BA281" t="s">
        <v>3</v>
      </c>
      <c r="BB281" t="s">
        <v>4</v>
      </c>
      <c r="BC281" t="s">
        <v>5</v>
      </c>
      <c r="BD281" t="s">
        <v>6</v>
      </c>
      <c r="BE281" t="s">
        <v>7</v>
      </c>
      <c r="BF281" t="s">
        <v>8</v>
      </c>
      <c r="BG281" t="s">
        <v>9</v>
      </c>
    </row>
    <row r="282" spans="26:60" ht="15.95">
      <c r="AA282" s="5" t="s">
        <v>10</v>
      </c>
      <c r="AB282">
        <v>49</v>
      </c>
      <c r="AC282">
        <v>7</v>
      </c>
      <c r="AD282">
        <v>0</v>
      </c>
      <c r="AE282">
        <v>1</v>
      </c>
      <c r="AF282">
        <v>3</v>
      </c>
      <c r="AG282">
        <v>0</v>
      </c>
      <c r="AH282">
        <v>0</v>
      </c>
      <c r="AI282">
        <v>0</v>
      </c>
      <c r="AJ282">
        <f t="shared" ref="AJ282" si="409">SUM(AB282:AI282)</f>
        <v>60</v>
      </c>
      <c r="AM282" s="5" t="s">
        <v>10</v>
      </c>
      <c r="AY282" s="5" t="s">
        <v>10</v>
      </c>
      <c r="AZ282">
        <f>AVERAGE(AB282,AN282)</f>
        <v>49</v>
      </c>
      <c r="BA282">
        <f t="shared" ref="BA282:BA284" si="410">AVERAGE(AC282,AO282)</f>
        <v>7</v>
      </c>
      <c r="BB282">
        <f t="shared" ref="BB282:BB284" si="411">AVERAGE(AD282,AP282)</f>
        <v>0</v>
      </c>
      <c r="BC282">
        <f t="shared" ref="BC282:BC284" si="412">AVERAGE(AE282,AQ282)</f>
        <v>1</v>
      </c>
      <c r="BD282">
        <f t="shared" ref="BD282:BD284" si="413">AVERAGE(AF282,AR282)</f>
        <v>3</v>
      </c>
      <c r="BE282">
        <f t="shared" ref="BE282:BE284" si="414">AVERAGE(AG282,AS282)</f>
        <v>0</v>
      </c>
      <c r="BF282">
        <f t="shared" ref="BF282:BF284" si="415">AVERAGE(AH282,AT282)</f>
        <v>0</v>
      </c>
      <c r="BG282">
        <f t="shared" ref="BG282:BG284" si="416">AVERAGE(AI282,AU282)</f>
        <v>0</v>
      </c>
      <c r="BH282">
        <f>AVERAGE(AJ282,AV282)</f>
        <v>60</v>
      </c>
    </row>
    <row r="283" spans="26:60" ht="15.95">
      <c r="AA283" s="5" t="s">
        <v>11</v>
      </c>
      <c r="AB283">
        <v>71</v>
      </c>
      <c r="AC283">
        <v>10</v>
      </c>
      <c r="AD283">
        <v>0</v>
      </c>
      <c r="AE283">
        <v>0</v>
      </c>
      <c r="AF283">
        <v>91</v>
      </c>
      <c r="AG283">
        <v>0</v>
      </c>
      <c r="AH283">
        <v>0</v>
      </c>
      <c r="AI283">
        <v>0</v>
      </c>
      <c r="AJ283">
        <f t="shared" si="398"/>
        <v>172</v>
      </c>
      <c r="AM283" s="5" t="s">
        <v>11</v>
      </c>
      <c r="AY283" s="5" t="s">
        <v>11</v>
      </c>
      <c r="AZ283">
        <f t="shared" ref="AZ283:AZ284" si="417">AVERAGE(AB283,AN283)</f>
        <v>71</v>
      </c>
      <c r="BA283">
        <f t="shared" si="410"/>
        <v>10</v>
      </c>
      <c r="BB283">
        <f t="shared" si="411"/>
        <v>0</v>
      </c>
      <c r="BC283">
        <f t="shared" si="412"/>
        <v>0</v>
      </c>
      <c r="BD283">
        <f t="shared" si="413"/>
        <v>91</v>
      </c>
      <c r="BE283">
        <f t="shared" si="414"/>
        <v>0</v>
      </c>
      <c r="BF283">
        <f t="shared" si="415"/>
        <v>0</v>
      </c>
      <c r="BG283">
        <f t="shared" si="416"/>
        <v>0</v>
      </c>
      <c r="BH283">
        <f t="shared" ref="BH283:BH284" si="418">AVERAGE(AJ283,AV283)</f>
        <v>172</v>
      </c>
    </row>
    <row r="284" spans="26:60" ht="15" customHeight="1">
      <c r="AA284" t="s">
        <v>12</v>
      </c>
      <c r="AB284">
        <v>25</v>
      </c>
      <c r="AC284">
        <v>1</v>
      </c>
      <c r="AD284">
        <v>0</v>
      </c>
      <c r="AE284">
        <v>0</v>
      </c>
      <c r="AF284">
        <v>31</v>
      </c>
      <c r="AG284">
        <v>0</v>
      </c>
      <c r="AH284">
        <v>0</v>
      </c>
      <c r="AI284">
        <v>0</v>
      </c>
      <c r="AJ284">
        <f t="shared" si="398"/>
        <v>57</v>
      </c>
      <c r="AM284" t="s">
        <v>12</v>
      </c>
      <c r="AY284" t="s">
        <v>12</v>
      </c>
      <c r="AZ284">
        <f t="shared" si="417"/>
        <v>25</v>
      </c>
      <c r="BA284">
        <f t="shared" si="410"/>
        <v>1</v>
      </c>
      <c r="BB284">
        <f t="shared" si="411"/>
        <v>0</v>
      </c>
      <c r="BC284">
        <f t="shared" si="412"/>
        <v>0</v>
      </c>
      <c r="BD284">
        <f t="shared" si="413"/>
        <v>31</v>
      </c>
      <c r="BE284">
        <f t="shared" si="414"/>
        <v>0</v>
      </c>
      <c r="BF284">
        <f t="shared" si="415"/>
        <v>0</v>
      </c>
      <c r="BG284">
        <f t="shared" si="416"/>
        <v>0</v>
      </c>
      <c r="BH284">
        <f t="shared" si="418"/>
        <v>57</v>
      </c>
    </row>
    <row r="285" spans="26:60" ht="15" customHeight="1">
      <c r="AJ285">
        <f t="shared" si="408"/>
        <v>289</v>
      </c>
      <c r="BH285">
        <f>SUM(BH282:BH284)</f>
        <v>289</v>
      </c>
    </row>
    <row r="286" spans="26:60" ht="15.95">
      <c r="Z286" t="s">
        <v>20</v>
      </c>
      <c r="AA286" s="5" t="s">
        <v>84</v>
      </c>
      <c r="AB286" t="s">
        <v>25</v>
      </c>
      <c r="AC286" t="s">
        <v>3</v>
      </c>
      <c r="AD286" t="s">
        <v>4</v>
      </c>
      <c r="AE286" t="s">
        <v>5</v>
      </c>
      <c r="AF286" t="s">
        <v>6</v>
      </c>
      <c r="AG286" t="s">
        <v>7</v>
      </c>
      <c r="AH286" t="s">
        <v>8</v>
      </c>
      <c r="AI286" t="s">
        <v>9</v>
      </c>
      <c r="AX286" t="s">
        <v>26</v>
      </c>
      <c r="AY286" s="5" t="s">
        <v>84</v>
      </c>
      <c r="AZ286" t="s">
        <v>25</v>
      </c>
      <c r="BA286" t="s">
        <v>3</v>
      </c>
      <c r="BB286" t="s">
        <v>4</v>
      </c>
      <c r="BC286" t="s">
        <v>5</v>
      </c>
      <c r="BD286" t="s">
        <v>6</v>
      </c>
      <c r="BE286" t="s">
        <v>7</v>
      </c>
      <c r="BF286" t="s">
        <v>8</v>
      </c>
      <c r="BG286" t="s">
        <v>9</v>
      </c>
    </row>
    <row r="287" spans="26:60" ht="15.95">
      <c r="AA287" s="5" t="s">
        <v>10</v>
      </c>
      <c r="AB287">
        <v>23</v>
      </c>
      <c r="AC287">
        <v>1</v>
      </c>
      <c r="AD287">
        <v>0</v>
      </c>
      <c r="AE287">
        <v>2</v>
      </c>
      <c r="AF287">
        <v>0</v>
      </c>
      <c r="AG287">
        <v>0</v>
      </c>
      <c r="AH287">
        <v>0</v>
      </c>
      <c r="AI287">
        <v>0</v>
      </c>
      <c r="AJ287">
        <f t="shared" ref="AJ287:AJ289" si="419">SUM(AB287:AI287)</f>
        <v>26</v>
      </c>
      <c r="AY287" s="5" t="s">
        <v>10</v>
      </c>
      <c r="AZ287">
        <f>AVERAGE(AB287,AN287)</f>
        <v>23</v>
      </c>
      <c r="BA287">
        <f t="shared" ref="BA287:BA289" si="420">AVERAGE(AC287,AO287)</f>
        <v>1</v>
      </c>
      <c r="BB287">
        <f t="shared" ref="BB287:BB289" si="421">AVERAGE(AD287,AP287)</f>
        <v>0</v>
      </c>
      <c r="BC287">
        <f t="shared" ref="BC287:BC289" si="422">AVERAGE(AE287,AQ287)</f>
        <v>2</v>
      </c>
      <c r="BD287">
        <f t="shared" ref="BD287:BD289" si="423">AVERAGE(AF287,AR287)</f>
        <v>0</v>
      </c>
      <c r="BE287">
        <f t="shared" ref="BE287:BE289" si="424">AVERAGE(AG287,AS287)</f>
        <v>0</v>
      </c>
      <c r="BF287">
        <f t="shared" ref="BF287:BF289" si="425">AVERAGE(AH287,AT287)</f>
        <v>0</v>
      </c>
      <c r="BG287">
        <f t="shared" ref="BG287:BG289" si="426">AVERAGE(AI287,AU287)</f>
        <v>0</v>
      </c>
      <c r="BH287">
        <f>AVERAGE(AJ287,AV287)</f>
        <v>26</v>
      </c>
    </row>
    <row r="288" spans="26:60" ht="15.95">
      <c r="AA288" s="5" t="s">
        <v>11</v>
      </c>
      <c r="AB288">
        <v>5</v>
      </c>
      <c r="AC288">
        <v>2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f t="shared" si="419"/>
        <v>8</v>
      </c>
      <c r="AY288" s="5" t="s">
        <v>11</v>
      </c>
      <c r="AZ288">
        <f t="shared" ref="AZ288:AZ289" si="427">AVERAGE(AB288,AN288)</f>
        <v>5</v>
      </c>
      <c r="BA288">
        <f t="shared" si="420"/>
        <v>2</v>
      </c>
      <c r="BB288">
        <f t="shared" si="421"/>
        <v>0</v>
      </c>
      <c r="BC288">
        <f t="shared" si="422"/>
        <v>0</v>
      </c>
      <c r="BD288">
        <f t="shared" si="423"/>
        <v>1</v>
      </c>
      <c r="BE288">
        <f t="shared" si="424"/>
        <v>0</v>
      </c>
      <c r="BF288">
        <f t="shared" si="425"/>
        <v>0</v>
      </c>
      <c r="BG288">
        <f t="shared" si="426"/>
        <v>0</v>
      </c>
      <c r="BH288">
        <f t="shared" ref="BH288:BH289" si="428">AVERAGE(AJ288,AV288)</f>
        <v>8</v>
      </c>
    </row>
    <row r="289" spans="26:60" ht="15" customHeight="1">
      <c r="AA289" t="s">
        <v>12</v>
      </c>
      <c r="AB289">
        <v>15</v>
      </c>
      <c r="AC289">
        <v>0</v>
      </c>
      <c r="AD289">
        <v>0</v>
      </c>
      <c r="AE289">
        <v>0</v>
      </c>
      <c r="AF289">
        <v>4</v>
      </c>
      <c r="AG289">
        <v>0</v>
      </c>
      <c r="AH289">
        <v>0</v>
      </c>
      <c r="AI289">
        <v>0</v>
      </c>
      <c r="AJ289">
        <f t="shared" si="419"/>
        <v>19</v>
      </c>
      <c r="AY289" t="s">
        <v>12</v>
      </c>
      <c r="AZ289">
        <f t="shared" si="427"/>
        <v>15</v>
      </c>
      <c r="BA289">
        <f t="shared" si="420"/>
        <v>0</v>
      </c>
      <c r="BB289">
        <f t="shared" si="421"/>
        <v>0</v>
      </c>
      <c r="BC289">
        <f t="shared" si="422"/>
        <v>0</v>
      </c>
      <c r="BD289">
        <f t="shared" si="423"/>
        <v>4</v>
      </c>
      <c r="BE289">
        <f t="shared" si="424"/>
        <v>0</v>
      </c>
      <c r="BF289">
        <f t="shared" si="425"/>
        <v>0</v>
      </c>
      <c r="BG289">
        <f t="shared" si="426"/>
        <v>0</v>
      </c>
      <c r="BH289">
        <f t="shared" si="428"/>
        <v>19</v>
      </c>
    </row>
    <row r="290" spans="26:60" ht="15" customHeight="1">
      <c r="AJ290">
        <f t="shared" ref="AJ290" si="429">SUM(AJ287:AJ289)</f>
        <v>53</v>
      </c>
      <c r="BH290">
        <f>SUM(BH287:BH289)</f>
        <v>53</v>
      </c>
    </row>
    <row r="291" spans="26:60" ht="15.95">
      <c r="Z291" t="s">
        <v>20</v>
      </c>
      <c r="AA291" s="5" t="s">
        <v>85</v>
      </c>
      <c r="AB291" t="s">
        <v>25</v>
      </c>
      <c r="AC291" t="s">
        <v>3</v>
      </c>
      <c r="AD291" t="s">
        <v>4</v>
      </c>
      <c r="AE291" t="s">
        <v>5</v>
      </c>
      <c r="AF291" t="s">
        <v>6</v>
      </c>
      <c r="AG291" t="s">
        <v>7</v>
      </c>
      <c r="AH291" t="s">
        <v>8</v>
      </c>
      <c r="AI291" t="s">
        <v>9</v>
      </c>
      <c r="AX291" t="s">
        <v>26</v>
      </c>
      <c r="AY291" s="5" t="s">
        <v>85</v>
      </c>
      <c r="AZ291" t="s">
        <v>25</v>
      </c>
      <c r="BA291" t="s">
        <v>3</v>
      </c>
      <c r="BB291" t="s">
        <v>4</v>
      </c>
      <c r="BC291" t="s">
        <v>5</v>
      </c>
      <c r="BD291" t="s">
        <v>6</v>
      </c>
      <c r="BE291" t="s">
        <v>7</v>
      </c>
      <c r="BF291" t="s">
        <v>8</v>
      </c>
      <c r="BG291" t="s">
        <v>9</v>
      </c>
    </row>
    <row r="292" spans="26:60" ht="15.95">
      <c r="AA292" s="5" t="s">
        <v>10</v>
      </c>
      <c r="AB292">
        <v>19</v>
      </c>
      <c r="AC292">
        <v>1</v>
      </c>
      <c r="AD292">
        <v>0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f t="shared" ref="AJ292:AJ294" si="430">SUM(AB292:AI292)</f>
        <v>24</v>
      </c>
      <c r="AY292" s="5" t="s">
        <v>10</v>
      </c>
      <c r="AZ292">
        <f>AVERAGE(AB292,AN292)</f>
        <v>19</v>
      </c>
      <c r="BA292">
        <f t="shared" ref="BA292:BA294" si="431">AVERAGE(AC292,AO292)</f>
        <v>1</v>
      </c>
      <c r="BB292">
        <f t="shared" ref="BB292:BB294" si="432">AVERAGE(AD292,AP292)</f>
        <v>0</v>
      </c>
      <c r="BC292">
        <f t="shared" ref="BC292:BC294" si="433">AVERAGE(AE292,AQ292)</f>
        <v>2</v>
      </c>
      <c r="BD292">
        <f t="shared" ref="BD292:BD294" si="434">AVERAGE(AF292,AR292)</f>
        <v>2</v>
      </c>
      <c r="BE292">
        <f t="shared" ref="BE292:BE294" si="435">AVERAGE(AG292,AS292)</f>
        <v>0</v>
      </c>
      <c r="BF292">
        <f t="shared" ref="BF292:BF294" si="436">AVERAGE(AH292,AT292)</f>
        <v>0</v>
      </c>
      <c r="BG292">
        <f t="shared" ref="BG292:BG294" si="437">AVERAGE(AI292,AU292)</f>
        <v>0</v>
      </c>
      <c r="BH292">
        <f>AVERAGE(AJ292,AV292)</f>
        <v>24</v>
      </c>
    </row>
    <row r="293" spans="26:60" ht="15.95">
      <c r="AA293" s="5" t="s">
        <v>11</v>
      </c>
      <c r="AB293">
        <v>2</v>
      </c>
      <c r="AC293">
        <v>1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0</v>
      </c>
      <c r="AJ293">
        <f t="shared" si="430"/>
        <v>5</v>
      </c>
      <c r="AY293" s="5" t="s">
        <v>11</v>
      </c>
      <c r="AZ293">
        <f t="shared" ref="AZ293:AZ294" si="438">AVERAGE(AB293,AN293)</f>
        <v>2</v>
      </c>
      <c r="BA293">
        <f t="shared" si="431"/>
        <v>1</v>
      </c>
      <c r="BB293">
        <f t="shared" si="432"/>
        <v>0</v>
      </c>
      <c r="BC293">
        <f t="shared" si="433"/>
        <v>0</v>
      </c>
      <c r="BD293">
        <f t="shared" si="434"/>
        <v>1</v>
      </c>
      <c r="BE293">
        <f t="shared" si="435"/>
        <v>0</v>
      </c>
      <c r="BF293">
        <f t="shared" si="436"/>
        <v>1</v>
      </c>
      <c r="BG293">
        <f t="shared" si="437"/>
        <v>0</v>
      </c>
      <c r="BH293">
        <f t="shared" ref="BH293:BH294" si="439">AVERAGE(AJ293,AV293)</f>
        <v>5</v>
      </c>
    </row>
    <row r="294" spans="26:60">
      <c r="AA294" t="s">
        <v>12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f t="shared" si="430"/>
        <v>8</v>
      </c>
      <c r="AY294" t="s">
        <v>12</v>
      </c>
      <c r="AZ294">
        <f t="shared" si="438"/>
        <v>8</v>
      </c>
      <c r="BA294">
        <f t="shared" si="431"/>
        <v>0</v>
      </c>
      <c r="BB294">
        <f t="shared" si="432"/>
        <v>0</v>
      </c>
      <c r="BC294">
        <f t="shared" si="433"/>
        <v>0</v>
      </c>
      <c r="BD294">
        <f t="shared" si="434"/>
        <v>0</v>
      </c>
      <c r="BE294">
        <f t="shared" si="435"/>
        <v>0</v>
      </c>
      <c r="BF294">
        <f t="shared" si="436"/>
        <v>0</v>
      </c>
      <c r="BG294">
        <f t="shared" si="437"/>
        <v>0</v>
      </c>
      <c r="BH294">
        <f t="shared" si="439"/>
        <v>8</v>
      </c>
    </row>
    <row r="295" spans="26:60" ht="15" customHeight="1">
      <c r="AJ295">
        <f t="shared" ref="AJ295" si="440">SUM(AJ292:AJ294)</f>
        <v>37</v>
      </c>
      <c r="BH295">
        <f>SUM(BH292:BH294)</f>
        <v>37</v>
      </c>
    </row>
    <row r="296" spans="26:60" ht="15.95">
      <c r="Z296" t="s">
        <v>20</v>
      </c>
      <c r="AA296" s="5" t="s">
        <v>86</v>
      </c>
      <c r="AB296" t="s">
        <v>25</v>
      </c>
      <c r="AC296" t="s">
        <v>3</v>
      </c>
      <c r="AD296" t="s">
        <v>4</v>
      </c>
      <c r="AE296" t="s">
        <v>5</v>
      </c>
      <c r="AF296" t="s">
        <v>6</v>
      </c>
      <c r="AG296" t="s">
        <v>7</v>
      </c>
      <c r="AH296" t="s">
        <v>8</v>
      </c>
      <c r="AI296" t="s">
        <v>9</v>
      </c>
      <c r="AX296" t="s">
        <v>26</v>
      </c>
      <c r="AY296" s="5" t="s">
        <v>86</v>
      </c>
      <c r="AZ296" t="s">
        <v>25</v>
      </c>
      <c r="BA296" t="s">
        <v>3</v>
      </c>
      <c r="BB296" t="s">
        <v>4</v>
      </c>
      <c r="BC296" t="s">
        <v>5</v>
      </c>
      <c r="BD296" t="s">
        <v>6</v>
      </c>
      <c r="BE296" t="s">
        <v>7</v>
      </c>
      <c r="BF296" t="s">
        <v>8</v>
      </c>
      <c r="BG296" t="s">
        <v>9</v>
      </c>
    </row>
    <row r="297" spans="26:60" ht="15.95">
      <c r="AA297" s="5" t="s">
        <v>10</v>
      </c>
      <c r="AB297">
        <v>22</v>
      </c>
      <c r="AC297">
        <v>1</v>
      </c>
      <c r="AD297">
        <v>0</v>
      </c>
      <c r="AE297">
        <v>3</v>
      </c>
      <c r="AF297">
        <v>0</v>
      </c>
      <c r="AG297">
        <v>0</v>
      </c>
      <c r="AH297">
        <v>0</v>
      </c>
      <c r="AI297">
        <v>0</v>
      </c>
      <c r="AJ297">
        <f t="shared" ref="AJ297:AJ299" si="441">SUM(AB297:AI297)</f>
        <v>26</v>
      </c>
      <c r="AY297" s="5" t="s">
        <v>10</v>
      </c>
      <c r="AZ297">
        <f>AVERAGE(AB297,AN297)</f>
        <v>22</v>
      </c>
      <c r="BA297">
        <f t="shared" ref="BA297:BA299" si="442">AVERAGE(AC297,AO297)</f>
        <v>1</v>
      </c>
      <c r="BB297">
        <f t="shared" ref="BB297:BB299" si="443">AVERAGE(AD297,AP297)</f>
        <v>0</v>
      </c>
      <c r="BC297">
        <f t="shared" ref="BC297:BC299" si="444">AVERAGE(AE297,AQ297)</f>
        <v>3</v>
      </c>
      <c r="BD297">
        <f t="shared" ref="BD297:BD299" si="445">AVERAGE(AF297,AR297)</f>
        <v>0</v>
      </c>
      <c r="BE297">
        <f t="shared" ref="BE297:BE299" si="446">AVERAGE(AG297,AS297)</f>
        <v>0</v>
      </c>
      <c r="BF297">
        <f t="shared" ref="BF297:BF299" si="447">AVERAGE(AH297,AT297)</f>
        <v>0</v>
      </c>
      <c r="BG297">
        <f t="shared" ref="BG297:BG299" si="448">AVERAGE(AI297,AU297)</f>
        <v>0</v>
      </c>
      <c r="BH297">
        <f>AVERAGE(AJ297,AV297)</f>
        <v>26</v>
      </c>
    </row>
    <row r="298" spans="26:60" ht="15.95">
      <c r="AA298" s="5" t="s">
        <v>11</v>
      </c>
      <c r="AB298">
        <v>2</v>
      </c>
      <c r="AC298">
        <v>2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f t="shared" si="441"/>
        <v>6</v>
      </c>
      <c r="AY298" s="5" t="s">
        <v>11</v>
      </c>
      <c r="AZ298">
        <f t="shared" ref="AZ298:AZ299" si="449">AVERAGE(AB298,AN298)</f>
        <v>2</v>
      </c>
      <c r="BA298">
        <f t="shared" si="442"/>
        <v>2</v>
      </c>
      <c r="BB298">
        <f t="shared" si="443"/>
        <v>2</v>
      </c>
      <c r="BC298">
        <f t="shared" si="444"/>
        <v>0</v>
      </c>
      <c r="BD298">
        <f t="shared" si="445"/>
        <v>0</v>
      </c>
      <c r="BE298">
        <f t="shared" si="446"/>
        <v>0</v>
      </c>
      <c r="BF298">
        <f t="shared" si="447"/>
        <v>0</v>
      </c>
      <c r="BG298">
        <f t="shared" si="448"/>
        <v>0</v>
      </c>
      <c r="BH298">
        <f t="shared" ref="BH298:BH299" si="450">AVERAGE(AJ298,AV298)</f>
        <v>6</v>
      </c>
    </row>
    <row r="299" spans="26:60" ht="15" customHeight="1">
      <c r="AA299" t="s">
        <v>12</v>
      </c>
      <c r="AB299">
        <v>3</v>
      </c>
      <c r="AC299">
        <v>0</v>
      </c>
      <c r="AD299">
        <v>0</v>
      </c>
      <c r="AE299">
        <v>0</v>
      </c>
      <c r="AF299">
        <v>2</v>
      </c>
      <c r="AG299">
        <v>0</v>
      </c>
      <c r="AH299">
        <v>0</v>
      </c>
      <c r="AI299">
        <v>0</v>
      </c>
      <c r="AJ299">
        <f t="shared" si="441"/>
        <v>5</v>
      </c>
      <c r="AY299" t="s">
        <v>12</v>
      </c>
      <c r="AZ299">
        <f t="shared" si="449"/>
        <v>3</v>
      </c>
      <c r="BA299">
        <f t="shared" si="442"/>
        <v>0</v>
      </c>
      <c r="BB299">
        <f t="shared" si="443"/>
        <v>0</v>
      </c>
      <c r="BC299">
        <f t="shared" si="444"/>
        <v>0</v>
      </c>
      <c r="BD299">
        <f t="shared" si="445"/>
        <v>2</v>
      </c>
      <c r="BE299">
        <f t="shared" si="446"/>
        <v>0</v>
      </c>
      <c r="BF299">
        <f t="shared" si="447"/>
        <v>0</v>
      </c>
      <c r="BG299">
        <f t="shared" si="448"/>
        <v>0</v>
      </c>
      <c r="BH299">
        <f t="shared" si="450"/>
        <v>5</v>
      </c>
    </row>
    <row r="300" spans="26:60" ht="15" customHeight="1">
      <c r="AJ300">
        <f t="shared" ref="AJ300" si="451">SUM(AJ297:AJ299)</f>
        <v>37</v>
      </c>
      <c r="BH300">
        <f>SUM(BH297:BH299)</f>
        <v>37</v>
      </c>
    </row>
    <row r="301" spans="26:60" ht="15.95">
      <c r="Z301" t="s">
        <v>20</v>
      </c>
      <c r="AA301" s="5" t="s">
        <v>87</v>
      </c>
      <c r="AB301" t="s">
        <v>25</v>
      </c>
      <c r="AC301" t="s">
        <v>3</v>
      </c>
      <c r="AD301" t="s">
        <v>4</v>
      </c>
      <c r="AE301" t="s">
        <v>5</v>
      </c>
      <c r="AF301" t="s">
        <v>6</v>
      </c>
      <c r="AG301" t="s">
        <v>7</v>
      </c>
      <c r="AH301" t="s">
        <v>8</v>
      </c>
      <c r="AI301" t="s">
        <v>9</v>
      </c>
      <c r="AX301" t="s">
        <v>26</v>
      </c>
      <c r="AY301" s="5" t="s">
        <v>87</v>
      </c>
      <c r="AZ301" t="s">
        <v>25</v>
      </c>
      <c r="BA301" t="s">
        <v>3</v>
      </c>
      <c r="BB301" t="s">
        <v>4</v>
      </c>
      <c r="BC301" t="s">
        <v>5</v>
      </c>
      <c r="BD301" t="s">
        <v>6</v>
      </c>
      <c r="BE301" t="s">
        <v>7</v>
      </c>
      <c r="BF301" t="s">
        <v>8</v>
      </c>
      <c r="BG301" t="s">
        <v>9</v>
      </c>
    </row>
    <row r="302" spans="26:60" ht="15.95">
      <c r="AA302" s="5" t="s">
        <v>10</v>
      </c>
      <c r="AB302">
        <v>18</v>
      </c>
      <c r="AC302">
        <v>1</v>
      </c>
      <c r="AD302">
        <v>0</v>
      </c>
      <c r="AE302">
        <v>2</v>
      </c>
      <c r="AF302">
        <v>0</v>
      </c>
      <c r="AG302">
        <v>0</v>
      </c>
      <c r="AH302">
        <v>0</v>
      </c>
      <c r="AI302">
        <v>0</v>
      </c>
      <c r="AJ302">
        <f>SUM(AB302:AI302)</f>
        <v>21</v>
      </c>
      <c r="AY302" s="5" t="s">
        <v>10</v>
      </c>
      <c r="AZ302">
        <f>AVERAGE(AB302,AN302)</f>
        <v>18</v>
      </c>
      <c r="BA302">
        <f t="shared" ref="BA302:BA304" si="452">AVERAGE(AC302,AO302)</f>
        <v>1</v>
      </c>
      <c r="BB302">
        <f t="shared" ref="BB302:BB304" si="453">AVERAGE(AD302,AP302)</f>
        <v>0</v>
      </c>
      <c r="BC302">
        <f t="shared" ref="BC302:BC304" si="454">AVERAGE(AE302,AQ302)</f>
        <v>2</v>
      </c>
      <c r="BD302">
        <f t="shared" ref="BD302:BD304" si="455">AVERAGE(AF302,AR302)</f>
        <v>0</v>
      </c>
      <c r="BE302">
        <f t="shared" ref="BE302:BE304" si="456">AVERAGE(AG302,AS302)</f>
        <v>0</v>
      </c>
      <c r="BF302">
        <f t="shared" ref="BF302:BF304" si="457">AVERAGE(AH302,AT302)</f>
        <v>0</v>
      </c>
      <c r="BG302">
        <f t="shared" ref="BG302:BG304" si="458">AVERAGE(AI302,AU302)</f>
        <v>0</v>
      </c>
      <c r="BH302">
        <f>AVERAGE(AJ302,AV302)</f>
        <v>21</v>
      </c>
    </row>
    <row r="303" spans="26:60" ht="15.95">
      <c r="AA303" s="5" t="s">
        <v>11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f>SUM(AB303:AI303)</f>
        <v>1</v>
      </c>
      <c r="AY303" s="5" t="s">
        <v>11</v>
      </c>
      <c r="AZ303">
        <f t="shared" ref="AZ303:AZ304" si="459">AVERAGE(AB303,AN303)</f>
        <v>0</v>
      </c>
      <c r="BA303">
        <f t="shared" si="452"/>
        <v>0</v>
      </c>
      <c r="BB303">
        <f t="shared" si="453"/>
        <v>0</v>
      </c>
      <c r="BC303">
        <f t="shared" si="454"/>
        <v>0</v>
      </c>
      <c r="BD303">
        <f t="shared" si="455"/>
        <v>0</v>
      </c>
      <c r="BE303">
        <f t="shared" si="456"/>
        <v>1</v>
      </c>
      <c r="BF303">
        <f t="shared" si="457"/>
        <v>0</v>
      </c>
      <c r="BG303">
        <f t="shared" si="458"/>
        <v>0</v>
      </c>
      <c r="BH303">
        <f t="shared" ref="BH303:BH304" si="460">AVERAGE(AJ303,AV303)</f>
        <v>1</v>
      </c>
    </row>
    <row r="304" spans="26:60" ht="15" customHeight="1">
      <c r="AA304" t="s">
        <v>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f t="shared" ref="AJ304" si="461">SUM(AB304:AI304)</f>
        <v>0</v>
      </c>
      <c r="AY304" t="s">
        <v>12</v>
      </c>
      <c r="AZ304">
        <f t="shared" si="459"/>
        <v>0</v>
      </c>
      <c r="BA304">
        <f t="shared" si="452"/>
        <v>0</v>
      </c>
      <c r="BB304">
        <f t="shared" si="453"/>
        <v>0</v>
      </c>
      <c r="BC304">
        <f t="shared" si="454"/>
        <v>0</v>
      </c>
      <c r="BD304">
        <f t="shared" si="455"/>
        <v>0</v>
      </c>
      <c r="BE304">
        <f t="shared" si="456"/>
        <v>0</v>
      </c>
      <c r="BF304">
        <f t="shared" si="457"/>
        <v>0</v>
      </c>
      <c r="BG304">
        <f t="shared" si="458"/>
        <v>0</v>
      </c>
      <c r="BH304">
        <f t="shared" si="460"/>
        <v>0</v>
      </c>
    </row>
    <row r="305" spans="1:60" ht="15" customHeight="1">
      <c r="AJ305">
        <f t="shared" ref="AJ305" si="462">SUM(AJ302:AJ304)</f>
        <v>22</v>
      </c>
      <c r="BH305">
        <f>SUM(BH302:BH304)</f>
        <v>22</v>
      </c>
    </row>
    <row r="306" spans="1:60" ht="15.95">
      <c r="Z306" t="s">
        <v>20</v>
      </c>
      <c r="AA306" s="5" t="s">
        <v>88</v>
      </c>
      <c r="AB306" t="s">
        <v>25</v>
      </c>
      <c r="AC306" t="s">
        <v>3</v>
      </c>
      <c r="AD306" t="s">
        <v>4</v>
      </c>
      <c r="AE306" t="s">
        <v>5</v>
      </c>
      <c r="AF306" t="s">
        <v>6</v>
      </c>
      <c r="AG306" t="s">
        <v>7</v>
      </c>
      <c r="AH306" t="s">
        <v>8</v>
      </c>
      <c r="AI306" t="s">
        <v>9</v>
      </c>
      <c r="AX306" t="s">
        <v>26</v>
      </c>
      <c r="AY306" s="5" t="s">
        <v>88</v>
      </c>
      <c r="AZ306" t="s">
        <v>25</v>
      </c>
      <c r="BA306" t="s">
        <v>3</v>
      </c>
      <c r="BB306" t="s">
        <v>4</v>
      </c>
      <c r="BC306" t="s">
        <v>5</v>
      </c>
      <c r="BD306" t="s">
        <v>6</v>
      </c>
      <c r="BE306" t="s">
        <v>7</v>
      </c>
      <c r="BF306" t="s">
        <v>8</v>
      </c>
      <c r="BG306" t="s">
        <v>9</v>
      </c>
    </row>
    <row r="307" spans="1:60" ht="15.95">
      <c r="AA307" s="5" t="s">
        <v>10</v>
      </c>
      <c r="AB307">
        <v>27</v>
      </c>
      <c r="AC307">
        <v>2</v>
      </c>
      <c r="AD307">
        <v>0</v>
      </c>
      <c r="AE307">
        <v>2</v>
      </c>
      <c r="AF307">
        <v>0</v>
      </c>
      <c r="AG307">
        <v>0</v>
      </c>
      <c r="AH307">
        <v>0</v>
      </c>
      <c r="AI307">
        <v>0</v>
      </c>
      <c r="AJ307">
        <f>SUM(AB307:AI307)</f>
        <v>31</v>
      </c>
      <c r="AY307" s="5" t="s">
        <v>10</v>
      </c>
      <c r="AZ307">
        <f>AVERAGE(AB307,AN307)</f>
        <v>27</v>
      </c>
      <c r="BA307">
        <f t="shared" ref="BA307:BA309" si="463">AVERAGE(AC307,AO307)</f>
        <v>2</v>
      </c>
      <c r="BB307">
        <f t="shared" ref="BB307:BB309" si="464">AVERAGE(AD307,AP307)</f>
        <v>0</v>
      </c>
      <c r="BC307">
        <f t="shared" ref="BC307:BC309" si="465">AVERAGE(AE307,AQ307)</f>
        <v>2</v>
      </c>
      <c r="BD307">
        <f t="shared" ref="BD307:BD309" si="466">AVERAGE(AF307,AR307)</f>
        <v>0</v>
      </c>
      <c r="BE307">
        <f t="shared" ref="BE307:BE309" si="467">AVERAGE(AG307,AS307)</f>
        <v>0</v>
      </c>
      <c r="BF307">
        <f t="shared" ref="BF307:BF309" si="468">AVERAGE(AH307,AT307)</f>
        <v>0</v>
      </c>
      <c r="BG307">
        <f t="shared" ref="BG307:BG309" si="469">AVERAGE(AI307,AU307)</f>
        <v>0</v>
      </c>
      <c r="BH307">
        <f>AVERAGE(AJ307,AV307)</f>
        <v>31</v>
      </c>
    </row>
    <row r="308" spans="1:60" ht="15.95">
      <c r="AA308" s="5" t="s">
        <v>11</v>
      </c>
      <c r="AB308">
        <v>0</v>
      </c>
      <c r="AC308">
        <v>2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>
        <f>SUM(AB308:AI308)</f>
        <v>4</v>
      </c>
      <c r="AY308" s="5" t="s">
        <v>11</v>
      </c>
      <c r="AZ308">
        <f t="shared" ref="AZ308:AZ309" si="470">AVERAGE(AB308,AN308)</f>
        <v>0</v>
      </c>
      <c r="BA308">
        <f t="shared" si="463"/>
        <v>2</v>
      </c>
      <c r="BB308">
        <f t="shared" si="464"/>
        <v>0</v>
      </c>
      <c r="BC308">
        <f t="shared" si="465"/>
        <v>0</v>
      </c>
      <c r="BD308">
        <f t="shared" si="466"/>
        <v>1</v>
      </c>
      <c r="BE308">
        <f t="shared" si="467"/>
        <v>1</v>
      </c>
      <c r="BF308">
        <f t="shared" si="468"/>
        <v>0</v>
      </c>
      <c r="BG308">
        <f t="shared" si="469"/>
        <v>0</v>
      </c>
      <c r="BH308">
        <f t="shared" ref="BH308:BH309" si="471">AVERAGE(AJ308,AV308)</f>
        <v>4</v>
      </c>
    </row>
    <row r="309" spans="1:60" ht="15" customHeight="1">
      <c r="AA309" t="s">
        <v>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f t="shared" ref="AJ309" si="472">SUM(AB309:AI309)</f>
        <v>0</v>
      </c>
      <c r="AY309" t="s">
        <v>12</v>
      </c>
      <c r="AZ309">
        <f t="shared" si="470"/>
        <v>0</v>
      </c>
      <c r="BA309">
        <f t="shared" si="463"/>
        <v>0</v>
      </c>
      <c r="BB309">
        <f t="shared" si="464"/>
        <v>0</v>
      </c>
      <c r="BC309">
        <f t="shared" si="465"/>
        <v>0</v>
      </c>
      <c r="BD309">
        <f t="shared" si="466"/>
        <v>0</v>
      </c>
      <c r="BE309">
        <f t="shared" si="467"/>
        <v>0</v>
      </c>
      <c r="BF309">
        <f t="shared" si="468"/>
        <v>0</v>
      </c>
      <c r="BG309">
        <f t="shared" si="469"/>
        <v>0</v>
      </c>
      <c r="BH309">
        <f t="shared" si="471"/>
        <v>0</v>
      </c>
    </row>
    <row r="310" spans="1:60" ht="15" customHeight="1">
      <c r="AJ310">
        <f t="shared" ref="AJ310" si="473">SUM(AJ307:AJ309)</f>
        <v>35</v>
      </c>
      <c r="BH310">
        <f>SUM(BH307:BH309)</f>
        <v>35</v>
      </c>
    </row>
    <row r="311" spans="1:60" ht="15.95">
      <c r="Z311" t="s">
        <v>20</v>
      </c>
      <c r="AA311" s="5" t="s">
        <v>89</v>
      </c>
      <c r="AB311" t="s">
        <v>25</v>
      </c>
      <c r="AC311" t="s">
        <v>3</v>
      </c>
      <c r="AD311" t="s">
        <v>4</v>
      </c>
      <c r="AE311" t="s">
        <v>5</v>
      </c>
      <c r="AF311" t="s">
        <v>6</v>
      </c>
      <c r="AG311" t="s">
        <v>7</v>
      </c>
      <c r="AH311" t="s">
        <v>8</v>
      </c>
      <c r="AI311" t="s">
        <v>9</v>
      </c>
      <c r="AX311" t="s">
        <v>26</v>
      </c>
      <c r="AY311" s="5" t="s">
        <v>89</v>
      </c>
      <c r="AZ311" t="s">
        <v>25</v>
      </c>
      <c r="BA311" t="s">
        <v>3</v>
      </c>
      <c r="BB311" t="s">
        <v>4</v>
      </c>
      <c r="BC311" t="s">
        <v>5</v>
      </c>
      <c r="BD311" t="s">
        <v>6</v>
      </c>
      <c r="BE311" t="s">
        <v>7</v>
      </c>
      <c r="BF311" t="s">
        <v>8</v>
      </c>
      <c r="BG311" t="s">
        <v>9</v>
      </c>
    </row>
    <row r="312" spans="1:60" ht="15.95">
      <c r="AA312" s="5" t="s">
        <v>10</v>
      </c>
      <c r="AB312">
        <v>12</v>
      </c>
      <c r="AC312">
        <v>1</v>
      </c>
      <c r="AD312">
        <v>0</v>
      </c>
      <c r="AE312">
        <v>2</v>
      </c>
      <c r="AF312">
        <v>0</v>
      </c>
      <c r="AG312">
        <v>0</v>
      </c>
      <c r="AH312">
        <v>0</v>
      </c>
      <c r="AI312">
        <v>0</v>
      </c>
      <c r="AJ312">
        <f>SUM(AB312:AI312)</f>
        <v>15</v>
      </c>
      <c r="AY312" s="5" t="s">
        <v>10</v>
      </c>
      <c r="AZ312">
        <f>AVERAGE(AB312,AN312)</f>
        <v>12</v>
      </c>
      <c r="BA312">
        <f t="shared" ref="BA312:BH314" si="474">AVERAGE(AC312,AO312)</f>
        <v>1</v>
      </c>
      <c r="BB312">
        <f t="shared" si="474"/>
        <v>0</v>
      </c>
      <c r="BC312">
        <f t="shared" si="474"/>
        <v>2</v>
      </c>
      <c r="BD312">
        <f t="shared" si="474"/>
        <v>0</v>
      </c>
      <c r="BE312">
        <f t="shared" si="474"/>
        <v>0</v>
      </c>
      <c r="BF312">
        <f t="shared" si="474"/>
        <v>0</v>
      </c>
      <c r="BG312">
        <f t="shared" si="474"/>
        <v>0</v>
      </c>
      <c r="BH312">
        <f>AVERAGE(AJ312,AV312)</f>
        <v>15</v>
      </c>
    </row>
    <row r="313" spans="1:60" ht="15.95">
      <c r="AA313" s="5" t="s">
        <v>11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>SUM(AB313:AI313)</f>
        <v>2</v>
      </c>
      <c r="AY313" s="5" t="s">
        <v>11</v>
      </c>
      <c r="AZ313">
        <f t="shared" ref="AZ313:AZ314" si="475">AVERAGE(AB313,AN313)</f>
        <v>2</v>
      </c>
      <c r="BA313">
        <f t="shared" si="474"/>
        <v>0</v>
      </c>
      <c r="BB313">
        <f t="shared" si="474"/>
        <v>0</v>
      </c>
      <c r="BC313">
        <f t="shared" si="474"/>
        <v>0</v>
      </c>
      <c r="BD313">
        <f t="shared" si="474"/>
        <v>0</v>
      </c>
      <c r="BE313">
        <f t="shared" si="474"/>
        <v>0</v>
      </c>
      <c r="BF313">
        <f t="shared" si="474"/>
        <v>0</v>
      </c>
      <c r="BG313">
        <f t="shared" si="474"/>
        <v>0</v>
      </c>
      <c r="BH313">
        <f t="shared" si="474"/>
        <v>2</v>
      </c>
    </row>
    <row r="314" spans="1:60" ht="15" customHeight="1">
      <c r="AA314" t="s">
        <v>12</v>
      </c>
      <c r="AB314">
        <v>4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f t="shared" ref="AJ314" si="476">SUM(AB314:AI314)</f>
        <v>5</v>
      </c>
      <c r="AY314" t="s">
        <v>12</v>
      </c>
      <c r="AZ314">
        <f t="shared" si="475"/>
        <v>4</v>
      </c>
      <c r="BA314">
        <f t="shared" si="474"/>
        <v>0</v>
      </c>
      <c r="BB314">
        <f t="shared" si="474"/>
        <v>0</v>
      </c>
      <c r="BC314">
        <f t="shared" si="474"/>
        <v>0</v>
      </c>
      <c r="BD314">
        <f t="shared" si="474"/>
        <v>1</v>
      </c>
      <c r="BE314">
        <f t="shared" si="474"/>
        <v>0</v>
      </c>
      <c r="BF314">
        <f t="shared" si="474"/>
        <v>0</v>
      </c>
      <c r="BG314">
        <f t="shared" si="474"/>
        <v>0</v>
      </c>
      <c r="BH314">
        <f t="shared" si="474"/>
        <v>5</v>
      </c>
    </row>
    <row r="315" spans="1:60" ht="15" customHeight="1">
      <c r="AJ315">
        <f t="shared" ref="AJ315" si="477">SUM(AJ312:AJ314)</f>
        <v>22</v>
      </c>
      <c r="BH315">
        <f>SUM(BH312:BH314)</f>
        <v>22</v>
      </c>
    </row>
    <row r="318" spans="1:60" ht="15" customHeight="1">
      <c r="A318" t="s">
        <v>90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37"/>
  <sheetViews>
    <sheetView topLeftCell="AP1" zoomScale="56" workbookViewId="0">
      <selection activeCell="BU137" sqref="BJ1:BU137"/>
    </sheetView>
  </sheetViews>
  <sheetFormatPr defaultColWidth="8.85546875" defaultRowHeight="15"/>
  <sheetData>
    <row r="1" spans="1:73">
      <c r="A1" t="s">
        <v>91</v>
      </c>
    </row>
    <row r="2" spans="1:73" ht="15.95">
      <c r="B2" t="s">
        <v>20</v>
      </c>
      <c r="C2" s="5" t="s">
        <v>92</v>
      </c>
      <c r="D2" t="s">
        <v>25</v>
      </c>
      <c r="E2" s="5" t="s">
        <v>14</v>
      </c>
      <c r="F2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t="s">
        <v>93</v>
      </c>
      <c r="N2" t="s">
        <v>13</v>
      </c>
      <c r="O2" s="5" t="s">
        <v>92</v>
      </c>
      <c r="P2" t="s">
        <v>25</v>
      </c>
      <c r="Q2" s="5" t="s">
        <v>14</v>
      </c>
      <c r="R2" t="s">
        <v>4</v>
      </c>
      <c r="S2" s="5" t="s">
        <v>5</v>
      </c>
      <c r="T2" s="5" t="s">
        <v>6</v>
      </c>
      <c r="U2" s="5" t="s">
        <v>7</v>
      </c>
      <c r="V2" s="5" t="s">
        <v>8</v>
      </c>
      <c r="W2" t="s">
        <v>9</v>
      </c>
      <c r="Z2" t="s">
        <v>20</v>
      </c>
      <c r="AA2" s="5" t="s">
        <v>92</v>
      </c>
      <c r="AB2" t="s">
        <v>25</v>
      </c>
      <c r="AC2" s="5" t="s">
        <v>14</v>
      </c>
      <c r="AD2" t="s">
        <v>4</v>
      </c>
      <c r="AE2" s="5" t="s">
        <v>5</v>
      </c>
      <c r="AF2" s="5" t="s">
        <v>6</v>
      </c>
      <c r="AG2" s="5" t="s">
        <v>7</v>
      </c>
      <c r="AH2" s="5" t="s">
        <v>8</v>
      </c>
      <c r="AI2" t="s">
        <v>9</v>
      </c>
      <c r="BJ2" t="s">
        <v>26</v>
      </c>
      <c r="BK2" s="13" t="s">
        <v>92</v>
      </c>
      <c r="BL2" t="s">
        <v>25</v>
      </c>
      <c r="BM2" s="13" t="s">
        <v>14</v>
      </c>
      <c r="BN2" t="s">
        <v>4</v>
      </c>
      <c r="BO2" s="13" t="s">
        <v>5</v>
      </c>
      <c r="BP2" s="13" t="s">
        <v>6</v>
      </c>
      <c r="BQ2" s="13" t="s">
        <v>7</v>
      </c>
      <c r="BR2" s="13" t="s">
        <v>8</v>
      </c>
      <c r="BS2" t="s">
        <v>9</v>
      </c>
    </row>
    <row r="3" spans="1:73" ht="15.95">
      <c r="C3" s="5" t="s">
        <v>10</v>
      </c>
      <c r="D3" s="5">
        <v>62</v>
      </c>
      <c r="E3" s="5">
        <v>3</v>
      </c>
      <c r="F3" s="5">
        <v>5</v>
      </c>
      <c r="G3" s="5">
        <v>4</v>
      </c>
      <c r="H3" s="5">
        <v>2</v>
      </c>
      <c r="I3" s="5">
        <v>0</v>
      </c>
      <c r="J3" s="5">
        <v>1</v>
      </c>
      <c r="K3" s="5">
        <v>5</v>
      </c>
      <c r="L3" s="11">
        <f>SUM(D3:K3)</f>
        <v>82</v>
      </c>
      <c r="O3" s="5" t="s">
        <v>10</v>
      </c>
      <c r="P3" s="5">
        <v>24</v>
      </c>
      <c r="Q3" s="5">
        <v>3</v>
      </c>
      <c r="R3" s="5">
        <v>5</v>
      </c>
      <c r="S3" s="5">
        <v>0</v>
      </c>
      <c r="T3" s="5">
        <v>0</v>
      </c>
      <c r="U3" s="5">
        <v>0</v>
      </c>
      <c r="V3" s="5">
        <v>0</v>
      </c>
      <c r="W3" s="5">
        <v>2</v>
      </c>
      <c r="X3" s="11">
        <f>SUM(P3:W3)</f>
        <v>34</v>
      </c>
      <c r="Z3" t="s">
        <v>94</v>
      </c>
      <c r="AA3" s="5" t="s">
        <v>10</v>
      </c>
      <c r="AB3" s="5">
        <v>50</v>
      </c>
      <c r="AC3" s="5">
        <v>4</v>
      </c>
      <c r="AD3" s="5">
        <v>1</v>
      </c>
      <c r="AE3" s="5">
        <v>4</v>
      </c>
      <c r="AF3" s="5">
        <v>1</v>
      </c>
      <c r="AG3" s="5">
        <v>0</v>
      </c>
      <c r="AH3" s="5">
        <v>1</v>
      </c>
      <c r="AI3" s="5">
        <v>0</v>
      </c>
      <c r="AJ3" s="11">
        <f>SUM(AB3:AI3)</f>
        <v>61</v>
      </c>
      <c r="BK3" s="13" t="s">
        <v>10</v>
      </c>
      <c r="BL3" s="13">
        <f t="shared" ref="BL3:BL5" si="0">AVERAGE(D3,P3,AB3,AN3,AZ3)</f>
        <v>45.333333333333336</v>
      </c>
      <c r="BM3" s="13">
        <f t="shared" ref="BM3:BM4" si="1">AVERAGE(E3,Q3,AC3,AO3,BA3)</f>
        <v>3.3333333333333335</v>
      </c>
      <c r="BN3" s="13">
        <f t="shared" ref="BN3:BN4" si="2">AVERAGE(F3,R3,AD3,AP3,BB3)</f>
        <v>3.6666666666666665</v>
      </c>
      <c r="BO3" s="13">
        <f t="shared" ref="BO3:BO4" si="3">AVERAGE(G3,S3,AE3,AQ3,BC3)</f>
        <v>2.6666666666666665</v>
      </c>
      <c r="BP3" s="13">
        <f t="shared" ref="BP3:BP5" si="4">AVERAGE(H3,T3,AF3,AR3,BD3)</f>
        <v>1</v>
      </c>
      <c r="BQ3" s="13"/>
      <c r="BR3" s="13">
        <f t="shared" ref="BR3" si="5">AVERAGE(J3,V3,AH3,AT3,BF3)</f>
        <v>0.66666666666666663</v>
      </c>
      <c r="BS3" s="13">
        <f>AVERAGE(K3,W3,AI3,AU3,BG3)</f>
        <v>2.3333333333333335</v>
      </c>
      <c r="BT3">
        <f>SUM(BL3:BS3)</f>
        <v>59</v>
      </c>
      <c r="BU3">
        <f>AVERAGE(L3,X3,AJ3,AV3,BH3)</f>
        <v>59</v>
      </c>
    </row>
    <row r="4" spans="1:73" ht="15.95">
      <c r="C4" s="5" t="s">
        <v>11</v>
      </c>
      <c r="D4" s="5">
        <v>11</v>
      </c>
      <c r="E4" s="5">
        <v>3</v>
      </c>
      <c r="F4" s="5">
        <v>0</v>
      </c>
      <c r="G4" s="5">
        <v>0</v>
      </c>
      <c r="H4" s="5">
        <v>5</v>
      </c>
      <c r="I4" s="5">
        <v>0</v>
      </c>
      <c r="J4" s="5">
        <v>0</v>
      </c>
      <c r="K4" s="5">
        <v>0</v>
      </c>
      <c r="L4" s="11">
        <f t="shared" ref="L4:L5" si="6">SUM(D4:K4)</f>
        <v>19</v>
      </c>
      <c r="O4" s="5" t="s">
        <v>11</v>
      </c>
      <c r="P4" s="5">
        <v>3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11">
        <f>SUM(P4:W4)</f>
        <v>5</v>
      </c>
      <c r="AA4" s="5" t="s">
        <v>11</v>
      </c>
      <c r="AB4" s="5">
        <v>7</v>
      </c>
      <c r="AC4" s="5">
        <v>2</v>
      </c>
      <c r="AD4" s="5">
        <v>0</v>
      </c>
      <c r="AE4" s="5">
        <v>0</v>
      </c>
      <c r="AF4" s="5">
        <v>7</v>
      </c>
      <c r="AG4" s="5">
        <v>0</v>
      </c>
      <c r="AH4" s="5">
        <v>0</v>
      </c>
      <c r="AI4" s="5">
        <v>0</v>
      </c>
      <c r="AJ4" s="11">
        <f>SUM(AB4:AI4)</f>
        <v>16</v>
      </c>
      <c r="BK4" s="13" t="s">
        <v>11</v>
      </c>
      <c r="BL4" s="13">
        <f t="shared" si="0"/>
        <v>7</v>
      </c>
      <c r="BM4" s="13">
        <f t="shared" si="1"/>
        <v>1.6666666666666667</v>
      </c>
      <c r="BN4" s="13">
        <f t="shared" si="2"/>
        <v>0.33333333333333331</v>
      </c>
      <c r="BO4" s="13">
        <f t="shared" si="3"/>
        <v>0.33333333333333331</v>
      </c>
      <c r="BP4" s="13">
        <f t="shared" si="4"/>
        <v>4</v>
      </c>
      <c r="BQ4" s="13"/>
      <c r="BR4" s="13"/>
      <c r="BS4" s="13"/>
      <c r="BT4">
        <f>SUM(BL4:BS4)</f>
        <v>13.333333333333334</v>
      </c>
      <c r="BU4">
        <f t="shared" ref="BU4:BU6" si="7">AVERAGE(L4,X4,AJ4,AV4,BH4)</f>
        <v>13.333333333333334</v>
      </c>
    </row>
    <row r="5" spans="1:73" ht="15.95">
      <c r="C5" t="s">
        <v>12</v>
      </c>
      <c r="D5">
        <v>8</v>
      </c>
      <c r="E5">
        <v>0</v>
      </c>
      <c r="F5">
        <v>0</v>
      </c>
      <c r="G5">
        <v>0</v>
      </c>
      <c r="H5">
        <v>14</v>
      </c>
      <c r="I5">
        <v>0</v>
      </c>
      <c r="J5">
        <v>0</v>
      </c>
      <c r="K5">
        <v>0</v>
      </c>
      <c r="L5" s="11">
        <f t="shared" si="6"/>
        <v>22</v>
      </c>
      <c r="O5" t="s">
        <v>12</v>
      </c>
      <c r="P5">
        <v>2</v>
      </c>
      <c r="Q5">
        <v>0</v>
      </c>
      <c r="R5">
        <v>0</v>
      </c>
      <c r="S5">
        <v>0</v>
      </c>
      <c r="T5">
        <v>6</v>
      </c>
      <c r="U5">
        <v>0</v>
      </c>
      <c r="V5">
        <v>0</v>
      </c>
      <c r="W5">
        <v>0</v>
      </c>
      <c r="X5" s="11">
        <f>SUM(P5:W5)</f>
        <v>8</v>
      </c>
      <c r="AA5" t="s">
        <v>12</v>
      </c>
      <c r="AB5">
        <v>5</v>
      </c>
      <c r="AC5">
        <v>0</v>
      </c>
      <c r="AD5">
        <v>0</v>
      </c>
      <c r="AE5">
        <v>0</v>
      </c>
      <c r="AF5">
        <v>9</v>
      </c>
      <c r="AG5">
        <v>0</v>
      </c>
      <c r="AH5">
        <v>0</v>
      </c>
      <c r="AI5">
        <v>0</v>
      </c>
      <c r="AJ5" s="11">
        <f>SUM(AB5:AI5)</f>
        <v>14</v>
      </c>
      <c r="BK5" t="s">
        <v>12</v>
      </c>
      <c r="BL5" s="13">
        <f t="shared" si="0"/>
        <v>5</v>
      </c>
      <c r="BM5" s="13"/>
      <c r="BN5" s="13"/>
      <c r="BO5" s="13"/>
      <c r="BP5" s="13">
        <f t="shared" si="4"/>
        <v>9.6666666666666661</v>
      </c>
      <c r="BQ5" s="13"/>
      <c r="BR5" s="13"/>
      <c r="BS5" s="13"/>
      <c r="BT5">
        <f>SUM(BL5:BS5)</f>
        <v>14.666666666666666</v>
      </c>
      <c r="BU5">
        <f t="shared" si="7"/>
        <v>14.666666666666666</v>
      </c>
    </row>
    <row r="6" spans="1:73" ht="15.95">
      <c r="L6" s="11">
        <f>SUM(L3:L5)</f>
        <v>123</v>
      </c>
      <c r="X6" s="11">
        <f>SUM(X3:X5)</f>
        <v>47</v>
      </c>
      <c r="AJ6" s="11">
        <f>SUM(AJ3:AJ5)</f>
        <v>91</v>
      </c>
      <c r="BT6" s="13">
        <f>SUM(BT3,BT4,BT5)</f>
        <v>87</v>
      </c>
      <c r="BU6">
        <f t="shared" si="7"/>
        <v>87</v>
      </c>
    </row>
    <row r="7" spans="1:73" ht="15.95">
      <c r="B7" t="s">
        <v>20</v>
      </c>
      <c r="C7" s="5" t="s">
        <v>95</v>
      </c>
      <c r="D7" t="s">
        <v>25</v>
      </c>
      <c r="E7" s="5" t="s">
        <v>14</v>
      </c>
      <c r="F7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t="s">
        <v>9</v>
      </c>
      <c r="N7" t="s">
        <v>13</v>
      </c>
      <c r="O7" t="s">
        <v>95</v>
      </c>
      <c r="P7" t="s">
        <v>25</v>
      </c>
      <c r="Q7" s="5" t="s">
        <v>14</v>
      </c>
      <c r="R7" t="s">
        <v>4</v>
      </c>
      <c r="S7" s="5" t="s">
        <v>5</v>
      </c>
      <c r="T7" s="5" t="s">
        <v>6</v>
      </c>
      <c r="U7" s="5" t="s">
        <v>7</v>
      </c>
      <c r="V7" s="5" t="s">
        <v>8</v>
      </c>
      <c r="W7" t="s">
        <v>9</v>
      </c>
      <c r="Z7" t="s">
        <v>20</v>
      </c>
      <c r="AA7" s="5" t="s">
        <v>95</v>
      </c>
      <c r="AB7" t="s">
        <v>25</v>
      </c>
      <c r="AC7" s="5" t="s">
        <v>14</v>
      </c>
      <c r="AD7" t="s">
        <v>4</v>
      </c>
      <c r="AE7" s="5" t="s">
        <v>5</v>
      </c>
      <c r="AF7" s="5" t="s">
        <v>6</v>
      </c>
      <c r="AG7" s="5" t="s">
        <v>7</v>
      </c>
      <c r="AH7" s="5" t="s">
        <v>8</v>
      </c>
      <c r="AI7" t="s">
        <v>9</v>
      </c>
      <c r="BJ7" t="s">
        <v>26</v>
      </c>
      <c r="BK7" s="13" t="s">
        <v>95</v>
      </c>
      <c r="BL7" t="s">
        <v>25</v>
      </c>
      <c r="BM7" s="13" t="s">
        <v>14</v>
      </c>
      <c r="BN7" t="s">
        <v>4</v>
      </c>
      <c r="BO7" s="13" t="s">
        <v>5</v>
      </c>
      <c r="BP7" s="13" t="s">
        <v>6</v>
      </c>
      <c r="BQ7" s="13" t="s">
        <v>7</v>
      </c>
      <c r="BR7" s="13" t="s">
        <v>8</v>
      </c>
      <c r="BS7" t="s">
        <v>9</v>
      </c>
    </row>
    <row r="8" spans="1:73" ht="15.95">
      <c r="C8" s="5" t="s">
        <v>10</v>
      </c>
      <c r="D8" s="5">
        <v>72</v>
      </c>
      <c r="E8" s="5">
        <v>3</v>
      </c>
      <c r="F8" s="5">
        <v>0</v>
      </c>
      <c r="G8" s="5">
        <v>7</v>
      </c>
      <c r="H8" s="5">
        <v>0</v>
      </c>
      <c r="I8" s="5">
        <v>0</v>
      </c>
      <c r="J8" s="5">
        <v>1</v>
      </c>
      <c r="K8" s="5">
        <v>1</v>
      </c>
      <c r="L8" s="11">
        <f>SUM(D8:K8)</f>
        <v>84</v>
      </c>
      <c r="O8" t="s">
        <v>10</v>
      </c>
      <c r="P8" s="5">
        <v>17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11">
        <f>SUM(P8:W8)</f>
        <v>18</v>
      </c>
      <c r="Z8" t="s">
        <v>94</v>
      </c>
      <c r="AA8" s="5" t="s">
        <v>10</v>
      </c>
      <c r="AB8" s="5">
        <v>60</v>
      </c>
      <c r="AC8" s="5">
        <v>0</v>
      </c>
      <c r="AD8" s="5">
        <v>1</v>
      </c>
      <c r="AE8" s="5">
        <v>3</v>
      </c>
      <c r="AF8" s="5">
        <v>0</v>
      </c>
      <c r="AG8" s="5">
        <v>0</v>
      </c>
      <c r="AH8" s="5">
        <v>2</v>
      </c>
      <c r="AI8" s="5">
        <v>0</v>
      </c>
      <c r="AJ8" s="11">
        <f>SUM(AB8:AI8)</f>
        <v>66</v>
      </c>
      <c r="BK8" s="13" t="s">
        <v>10</v>
      </c>
      <c r="BL8" s="13">
        <f t="shared" ref="BL8:BL10" si="8">AVERAGE(D8,P8,AB8,AN8,AZ8)</f>
        <v>49.666666666666664</v>
      </c>
      <c r="BM8" s="13">
        <f t="shared" ref="BM8:BM10" si="9">AVERAGE(E8,Q8,AC8,AO8,BA8)</f>
        <v>1.3333333333333333</v>
      </c>
      <c r="BN8" s="13">
        <f t="shared" ref="BN8:BN10" si="10">AVERAGE(F8,R8,AD8,AP8,BB8)</f>
        <v>0.33333333333333331</v>
      </c>
      <c r="BO8" s="13">
        <f t="shared" ref="BO8:BO10" si="11">AVERAGE(G8,S8,AE8,AQ8,BC8)</f>
        <v>3.3333333333333335</v>
      </c>
      <c r="BP8" s="13">
        <f t="shared" ref="BP8:BP10" si="12">AVERAGE(H8,T8,AF8,AR8,BD8)</f>
        <v>0</v>
      </c>
      <c r="BQ8" s="13">
        <f t="shared" ref="BQ8:BQ10" si="13">AVERAGE(I8,U8,AG8,AS8,BE8)</f>
        <v>0</v>
      </c>
      <c r="BR8" s="13">
        <f t="shared" ref="BR8:BR10" si="14">AVERAGE(J8,V8,AH8,AT8,BF8)</f>
        <v>1</v>
      </c>
      <c r="BS8" s="13">
        <f t="shared" ref="BS8:BS10" si="15">AVERAGE(K8,W8,AI8,AU8,BG8)</f>
        <v>0.33333333333333331</v>
      </c>
      <c r="BT8">
        <f>SUM(BL8:BS8)</f>
        <v>56.000000000000007</v>
      </c>
      <c r="BU8">
        <f>AVERAGE(L8,X8,AJ8,AV8,BH8)</f>
        <v>56</v>
      </c>
    </row>
    <row r="9" spans="1:73" ht="15.95">
      <c r="C9" s="5" t="s">
        <v>11</v>
      </c>
      <c r="D9" s="5">
        <v>23</v>
      </c>
      <c r="E9" s="5">
        <v>2</v>
      </c>
      <c r="F9" s="5">
        <v>0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11">
        <f>SUM(D9:K9)</f>
        <v>28</v>
      </c>
      <c r="O9" t="s">
        <v>11</v>
      </c>
      <c r="P9" s="5">
        <v>4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11">
        <f t="shared" ref="X9:X10" si="16">SUM(P9:W9)</f>
        <v>4</v>
      </c>
      <c r="AA9" s="5" t="s">
        <v>11</v>
      </c>
      <c r="AB9" s="5">
        <v>5</v>
      </c>
      <c r="AC9" s="5">
        <v>1</v>
      </c>
      <c r="AD9" s="5">
        <v>0</v>
      </c>
      <c r="AE9" s="5">
        <v>0</v>
      </c>
      <c r="AF9" s="5">
        <v>2</v>
      </c>
      <c r="AG9" s="5">
        <v>0</v>
      </c>
      <c r="AH9" s="5">
        <v>0</v>
      </c>
      <c r="AI9" s="5">
        <v>0</v>
      </c>
      <c r="AJ9" s="11">
        <f>SUM(AB9:AI9)</f>
        <v>8</v>
      </c>
      <c r="BK9" s="13" t="s">
        <v>11</v>
      </c>
      <c r="BL9" s="13">
        <f t="shared" si="8"/>
        <v>10.666666666666666</v>
      </c>
      <c r="BM9" s="13">
        <f t="shared" si="9"/>
        <v>1</v>
      </c>
      <c r="BN9" s="13">
        <f t="shared" si="10"/>
        <v>0</v>
      </c>
      <c r="BO9" s="13">
        <f t="shared" si="11"/>
        <v>0</v>
      </c>
      <c r="BP9" s="13">
        <f t="shared" si="12"/>
        <v>1.6666666666666667</v>
      </c>
      <c r="BQ9" s="13">
        <f t="shared" si="13"/>
        <v>0</v>
      </c>
      <c r="BR9" s="13">
        <f t="shared" si="14"/>
        <v>0</v>
      </c>
      <c r="BS9" s="13">
        <f t="shared" si="15"/>
        <v>0</v>
      </c>
      <c r="BT9">
        <f t="shared" ref="BT9:BT10" si="17">SUM(BL9:BS9)</f>
        <v>13.333333333333332</v>
      </c>
      <c r="BU9">
        <f t="shared" ref="BU9:BU11" si="18">AVERAGE(L9,X9,AJ9,AV9,BH9)</f>
        <v>13.333333333333334</v>
      </c>
    </row>
    <row r="10" spans="1:73" ht="15.95">
      <c r="C10" t="s">
        <v>12</v>
      </c>
      <c r="D10">
        <v>3</v>
      </c>
      <c r="E10">
        <v>0</v>
      </c>
      <c r="F10">
        <v>0</v>
      </c>
      <c r="G10">
        <v>0</v>
      </c>
      <c r="H10">
        <v>7</v>
      </c>
      <c r="I10">
        <v>0</v>
      </c>
      <c r="J10">
        <v>0</v>
      </c>
      <c r="K10">
        <v>0</v>
      </c>
      <c r="L10" s="11">
        <f>SUM(D10:K10)</f>
        <v>10</v>
      </c>
      <c r="O10" t="s">
        <v>12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11">
        <f t="shared" si="16"/>
        <v>2</v>
      </c>
      <c r="AA10" t="s">
        <v>12</v>
      </c>
      <c r="AB10">
        <v>5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0</v>
      </c>
      <c r="AJ10" s="11">
        <f>SUM(AB10:AI10)</f>
        <v>7</v>
      </c>
      <c r="BK10" t="s">
        <v>12</v>
      </c>
      <c r="BL10" s="13">
        <f t="shared" si="8"/>
        <v>3.3333333333333335</v>
      </c>
      <c r="BM10" s="13">
        <f t="shared" si="9"/>
        <v>0</v>
      </c>
      <c r="BN10" s="13">
        <f t="shared" si="10"/>
        <v>0</v>
      </c>
      <c r="BO10" s="13">
        <f t="shared" si="11"/>
        <v>0</v>
      </c>
      <c r="BP10" s="13">
        <f t="shared" si="12"/>
        <v>3</v>
      </c>
      <c r="BQ10" s="13">
        <f t="shared" si="13"/>
        <v>0</v>
      </c>
      <c r="BR10" s="13">
        <f t="shared" si="14"/>
        <v>0</v>
      </c>
      <c r="BS10" s="13">
        <f t="shared" si="15"/>
        <v>0</v>
      </c>
      <c r="BT10">
        <f t="shared" si="17"/>
        <v>6.3333333333333339</v>
      </c>
      <c r="BU10">
        <f t="shared" si="18"/>
        <v>6.333333333333333</v>
      </c>
    </row>
    <row r="11" spans="1:73" ht="15.95">
      <c r="L11" s="11">
        <f>SUM(L8:L10)</f>
        <v>122</v>
      </c>
      <c r="X11" s="11">
        <f>SUM(X8:X10)</f>
        <v>24</v>
      </c>
      <c r="AJ11" s="11">
        <f>SUM(AJ8:AJ10)</f>
        <v>81</v>
      </c>
      <c r="BT11" s="13">
        <f t="shared" ref="BT11" si="19">SUM(BT8,BT9,BT10)</f>
        <v>75.666666666666671</v>
      </c>
      <c r="BU11">
        <f t="shared" si="18"/>
        <v>75.666666666666671</v>
      </c>
    </row>
    <row r="12" spans="1:73" ht="15.95">
      <c r="B12" t="s">
        <v>20</v>
      </c>
      <c r="C12" s="5" t="s">
        <v>96</v>
      </c>
      <c r="D12" t="s">
        <v>25</v>
      </c>
      <c r="E12" s="5" t="s">
        <v>14</v>
      </c>
      <c r="F12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t="s">
        <v>9</v>
      </c>
      <c r="N12" t="s">
        <v>13</v>
      </c>
      <c r="O12" t="s">
        <v>96</v>
      </c>
      <c r="P12" t="s">
        <v>25</v>
      </c>
      <c r="Q12" s="5" t="s">
        <v>14</v>
      </c>
      <c r="R12" t="s">
        <v>4</v>
      </c>
      <c r="S12" s="5" t="s">
        <v>5</v>
      </c>
      <c r="T12" s="5" t="s">
        <v>6</v>
      </c>
      <c r="U12" s="5" t="s">
        <v>7</v>
      </c>
      <c r="V12" s="5" t="s">
        <v>8</v>
      </c>
      <c r="W12" t="s">
        <v>9</v>
      </c>
      <c r="BJ12" t="s">
        <v>26</v>
      </c>
      <c r="BK12" s="13" t="s">
        <v>96</v>
      </c>
      <c r="BL12" t="s">
        <v>25</v>
      </c>
      <c r="BM12" s="13" t="s">
        <v>14</v>
      </c>
      <c r="BN12" t="s">
        <v>4</v>
      </c>
      <c r="BO12" s="13" t="s">
        <v>5</v>
      </c>
      <c r="BP12" s="13" t="s">
        <v>6</v>
      </c>
      <c r="BQ12" s="13" t="s">
        <v>7</v>
      </c>
      <c r="BR12" s="13" t="s">
        <v>8</v>
      </c>
      <c r="BS12" t="s">
        <v>9</v>
      </c>
    </row>
    <row r="13" spans="1:73" ht="15.95">
      <c r="C13" s="5" t="s">
        <v>10</v>
      </c>
      <c r="D13" s="5">
        <v>27</v>
      </c>
      <c r="E13" s="5">
        <v>4</v>
      </c>
      <c r="F13" s="5">
        <v>0</v>
      </c>
      <c r="G13" s="5">
        <v>2</v>
      </c>
      <c r="H13" s="5">
        <v>2</v>
      </c>
      <c r="I13" s="5">
        <v>0</v>
      </c>
      <c r="J13" s="5">
        <v>0</v>
      </c>
      <c r="K13" s="5">
        <v>1</v>
      </c>
      <c r="L13" s="11">
        <f>SUM(D13:K13)</f>
        <v>36</v>
      </c>
      <c r="O13" t="s">
        <v>10</v>
      </c>
      <c r="P13" s="5">
        <v>9</v>
      </c>
      <c r="Q13" s="5">
        <v>0</v>
      </c>
      <c r="R13" s="5">
        <v>0</v>
      </c>
      <c r="S13" s="5">
        <v>2</v>
      </c>
      <c r="T13" s="5">
        <v>1</v>
      </c>
      <c r="U13" s="5">
        <v>0</v>
      </c>
      <c r="V13" s="5">
        <v>0</v>
      </c>
      <c r="W13" s="5">
        <v>0</v>
      </c>
      <c r="X13" s="11">
        <f>SUM(P13:W13)</f>
        <v>12</v>
      </c>
      <c r="BK13" s="13" t="s">
        <v>10</v>
      </c>
      <c r="BL13" s="13">
        <f t="shared" ref="BL13:BL15" si="20">AVERAGE(D13,P13,AB13,AN13,AZ13)</f>
        <v>18</v>
      </c>
      <c r="BM13" s="13">
        <f t="shared" ref="BM13:BM15" si="21">AVERAGE(E13,Q13,AC13,AO13,BA13)</f>
        <v>2</v>
      </c>
      <c r="BN13" s="13">
        <f t="shared" ref="BN13:BN15" si="22">AVERAGE(F13,R13,AD13,AP13,BB13)</f>
        <v>0</v>
      </c>
      <c r="BO13" s="13">
        <f t="shared" ref="BO13:BO15" si="23">AVERAGE(G13,S13,AE13,AQ13,BC13)</f>
        <v>2</v>
      </c>
      <c r="BP13" s="13">
        <f t="shared" ref="BP13:BP15" si="24">AVERAGE(H13,T13,AF13,AR13,BD13)</f>
        <v>1.5</v>
      </c>
      <c r="BQ13" s="13">
        <f t="shared" ref="BQ13:BQ15" si="25">AVERAGE(I13,U13,AG13,AS13,BE13)</f>
        <v>0</v>
      </c>
      <c r="BR13" s="13">
        <f t="shared" ref="BR13:BR15" si="26">AVERAGE(J13,V13,AH13,AT13,BF13)</f>
        <v>0</v>
      </c>
      <c r="BS13" s="13">
        <f t="shared" ref="BS13:BS15" si="27">AVERAGE(K13,W13,AI13,AU13,BG13)</f>
        <v>0.5</v>
      </c>
      <c r="BT13">
        <f t="shared" ref="BT13:BT15" si="28">SUM(BL13:BS13)</f>
        <v>24</v>
      </c>
      <c r="BU13">
        <f>AVERAGE(L13,X13,AJ13,AV13,BH13)</f>
        <v>24</v>
      </c>
    </row>
    <row r="14" spans="1:73" ht="15.95">
      <c r="C14" s="5" t="s">
        <v>11</v>
      </c>
      <c r="D14" s="5">
        <v>10</v>
      </c>
      <c r="E14" s="5">
        <v>0</v>
      </c>
      <c r="F14" s="5">
        <v>0</v>
      </c>
      <c r="G14" s="5">
        <v>0</v>
      </c>
      <c r="H14" s="5">
        <v>2</v>
      </c>
      <c r="I14" s="5">
        <v>0</v>
      </c>
      <c r="J14" s="5">
        <v>0</v>
      </c>
      <c r="K14" s="5">
        <v>0</v>
      </c>
      <c r="L14" s="11">
        <f t="shared" ref="L14:L15" si="29">SUM(D14:K14)</f>
        <v>12</v>
      </c>
      <c r="O14" t="s">
        <v>11</v>
      </c>
      <c r="P14" s="5">
        <v>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11">
        <f t="shared" ref="X14:X15" si="30">SUM(P14:W14)</f>
        <v>1</v>
      </c>
      <c r="BK14" s="13" t="s">
        <v>11</v>
      </c>
      <c r="BL14" s="13">
        <f t="shared" si="20"/>
        <v>5.5</v>
      </c>
      <c r="BM14" s="13">
        <f t="shared" si="21"/>
        <v>0</v>
      </c>
      <c r="BN14" s="13">
        <f t="shared" si="22"/>
        <v>0</v>
      </c>
      <c r="BO14" s="13">
        <f t="shared" si="23"/>
        <v>0</v>
      </c>
      <c r="BP14" s="13">
        <f t="shared" si="24"/>
        <v>1</v>
      </c>
      <c r="BQ14" s="13">
        <f t="shared" si="25"/>
        <v>0</v>
      </c>
      <c r="BR14" s="13">
        <f t="shared" si="26"/>
        <v>0</v>
      </c>
      <c r="BS14" s="13">
        <f t="shared" si="27"/>
        <v>0</v>
      </c>
      <c r="BT14">
        <f t="shared" si="28"/>
        <v>6.5</v>
      </c>
      <c r="BU14">
        <f t="shared" ref="BU14:BU16" si="31">AVERAGE(L14,X14,AJ14,AV14,BH14)</f>
        <v>6.5</v>
      </c>
    </row>
    <row r="15" spans="1:73" ht="15.95">
      <c r="C15" t="s">
        <v>12</v>
      </c>
      <c r="D15">
        <v>28</v>
      </c>
      <c r="E15">
        <v>0</v>
      </c>
      <c r="F15">
        <v>0</v>
      </c>
      <c r="G15">
        <v>0</v>
      </c>
      <c r="H15">
        <v>108</v>
      </c>
      <c r="I15">
        <v>0</v>
      </c>
      <c r="J15">
        <v>0</v>
      </c>
      <c r="K15">
        <v>0</v>
      </c>
      <c r="L15" s="11">
        <f t="shared" si="29"/>
        <v>136</v>
      </c>
      <c r="O15" t="s">
        <v>12</v>
      </c>
      <c r="P15">
        <v>5</v>
      </c>
      <c r="Q15">
        <v>0</v>
      </c>
      <c r="R15">
        <v>0</v>
      </c>
      <c r="S15">
        <v>0</v>
      </c>
      <c r="T15">
        <v>13</v>
      </c>
      <c r="U15">
        <v>0</v>
      </c>
      <c r="V15">
        <v>0</v>
      </c>
      <c r="W15">
        <v>0</v>
      </c>
      <c r="X15" s="11">
        <f t="shared" si="30"/>
        <v>18</v>
      </c>
      <c r="BK15" t="s">
        <v>12</v>
      </c>
      <c r="BL15" s="13">
        <f t="shared" si="20"/>
        <v>16.5</v>
      </c>
      <c r="BM15" s="13">
        <f t="shared" si="21"/>
        <v>0</v>
      </c>
      <c r="BN15" s="13">
        <f t="shared" si="22"/>
        <v>0</v>
      </c>
      <c r="BO15" s="13">
        <f t="shared" si="23"/>
        <v>0</v>
      </c>
      <c r="BP15" s="13">
        <f t="shared" si="24"/>
        <v>60.5</v>
      </c>
      <c r="BQ15" s="13">
        <f t="shared" si="25"/>
        <v>0</v>
      </c>
      <c r="BR15" s="13">
        <f t="shared" si="26"/>
        <v>0</v>
      </c>
      <c r="BS15" s="13">
        <f t="shared" si="27"/>
        <v>0</v>
      </c>
      <c r="BT15">
        <f t="shared" si="28"/>
        <v>77</v>
      </c>
      <c r="BU15">
        <f t="shared" si="31"/>
        <v>77</v>
      </c>
    </row>
    <row r="16" spans="1:73" ht="15.95">
      <c r="L16" s="11">
        <f>SUM(L13:L15)</f>
        <v>184</v>
      </c>
      <c r="X16" s="11">
        <f>SUM(X13:X15)</f>
        <v>31</v>
      </c>
      <c r="BT16" s="13">
        <f t="shared" ref="BT16" si="32">SUM(BT13,BT14,BT15)</f>
        <v>107.5</v>
      </c>
      <c r="BU16">
        <f t="shared" si="31"/>
        <v>107.5</v>
      </c>
    </row>
    <row r="17" spans="2:73" ht="15.95">
      <c r="B17" t="s">
        <v>20</v>
      </c>
      <c r="C17" s="5" t="s">
        <v>97</v>
      </c>
      <c r="D17" t="s">
        <v>25</v>
      </c>
      <c r="E17" s="5" t="s">
        <v>14</v>
      </c>
      <c r="F17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t="s">
        <v>9</v>
      </c>
      <c r="N17" t="s">
        <v>20</v>
      </c>
      <c r="O17" s="5" t="s">
        <v>97</v>
      </c>
      <c r="P17" t="s">
        <v>25</v>
      </c>
      <c r="Q17" s="5" t="s">
        <v>14</v>
      </c>
      <c r="R17" t="s">
        <v>4</v>
      </c>
      <c r="S17" s="5" t="s">
        <v>5</v>
      </c>
      <c r="T17" s="5" t="s">
        <v>6</v>
      </c>
      <c r="U17" s="5" t="s">
        <v>7</v>
      </c>
      <c r="V17" s="5" t="s">
        <v>8</v>
      </c>
      <c r="W17" t="s">
        <v>9</v>
      </c>
      <c r="Z17" t="s">
        <v>20</v>
      </c>
      <c r="AA17" s="5" t="s">
        <v>97</v>
      </c>
      <c r="AB17" t="s">
        <v>25</v>
      </c>
      <c r="AC17" s="5" t="s">
        <v>14</v>
      </c>
      <c r="AD17" t="s">
        <v>4</v>
      </c>
      <c r="AE17" s="5" t="s">
        <v>5</v>
      </c>
      <c r="AF17" s="13" t="s">
        <v>6</v>
      </c>
      <c r="AG17" s="13" t="s">
        <v>7</v>
      </c>
      <c r="AH17" s="13" t="s">
        <v>8</v>
      </c>
      <c r="AI17" t="s">
        <v>9</v>
      </c>
      <c r="AL17" t="s">
        <v>13</v>
      </c>
      <c r="AM17" t="s">
        <v>97</v>
      </c>
      <c r="AN17" t="s">
        <v>25</v>
      </c>
      <c r="AO17" s="13" t="s">
        <v>14</v>
      </c>
      <c r="AP17" t="s">
        <v>4</v>
      </c>
      <c r="AQ17" s="13" t="s">
        <v>5</v>
      </c>
      <c r="AR17" s="13" t="s">
        <v>6</v>
      </c>
      <c r="AS17" s="13" t="s">
        <v>7</v>
      </c>
      <c r="AT17" s="13" t="s">
        <v>8</v>
      </c>
      <c r="AU17" t="s">
        <v>9</v>
      </c>
      <c r="AX17" t="s">
        <v>20</v>
      </c>
      <c r="AY17" s="13" t="s">
        <v>97</v>
      </c>
      <c r="AZ17" t="s">
        <v>25</v>
      </c>
      <c r="BA17" s="13" t="s">
        <v>14</v>
      </c>
      <c r="BB17" t="s">
        <v>4</v>
      </c>
      <c r="BC17" s="13" t="s">
        <v>5</v>
      </c>
      <c r="BD17" s="13" t="s">
        <v>6</v>
      </c>
      <c r="BE17" s="13" t="s">
        <v>7</v>
      </c>
      <c r="BF17" s="13" t="s">
        <v>8</v>
      </c>
      <c r="BG17" t="s">
        <v>9</v>
      </c>
      <c r="BJ17" t="s">
        <v>26</v>
      </c>
      <c r="BK17" s="13" t="s">
        <v>97</v>
      </c>
      <c r="BL17" t="s">
        <v>25</v>
      </c>
      <c r="BM17" s="13" t="s">
        <v>14</v>
      </c>
      <c r="BN17" t="s">
        <v>4</v>
      </c>
      <c r="BO17" s="13" t="s">
        <v>5</v>
      </c>
      <c r="BP17" s="13" t="s">
        <v>6</v>
      </c>
      <c r="BQ17" s="13" t="s">
        <v>7</v>
      </c>
      <c r="BR17" s="13" t="s">
        <v>8</v>
      </c>
      <c r="BS17" t="s">
        <v>9</v>
      </c>
    </row>
    <row r="18" spans="2:73" ht="15.95">
      <c r="C18" s="5" t="s">
        <v>10</v>
      </c>
      <c r="D18" s="5">
        <v>29</v>
      </c>
      <c r="E18" s="5">
        <v>3</v>
      </c>
      <c r="F18" s="5">
        <v>0</v>
      </c>
      <c r="G18" s="5">
        <v>4</v>
      </c>
      <c r="H18" s="5">
        <v>1</v>
      </c>
      <c r="I18" s="5">
        <v>0</v>
      </c>
      <c r="J18" s="5">
        <v>1</v>
      </c>
      <c r="K18" s="5">
        <v>0</v>
      </c>
      <c r="L18" s="11">
        <f>SUM(D18:K18)</f>
        <v>38</v>
      </c>
      <c r="O18" s="5" t="s">
        <v>10</v>
      </c>
      <c r="P18" s="5">
        <v>26</v>
      </c>
      <c r="Q18" s="5">
        <v>4</v>
      </c>
      <c r="R18" s="5">
        <v>0</v>
      </c>
      <c r="S18" s="5">
        <v>0</v>
      </c>
      <c r="T18" s="5">
        <v>2</v>
      </c>
      <c r="U18" s="5">
        <v>0</v>
      </c>
      <c r="V18" s="5">
        <v>1</v>
      </c>
      <c r="W18" s="5">
        <v>0</v>
      </c>
      <c r="X18" s="11">
        <f>SUM(P18:W18)</f>
        <v>33</v>
      </c>
      <c r="AA18" s="5" t="s">
        <v>10</v>
      </c>
      <c r="AB18" s="5">
        <v>31</v>
      </c>
      <c r="AC18" s="5">
        <v>3</v>
      </c>
      <c r="AD18" s="5">
        <v>0</v>
      </c>
      <c r="AE18" s="5">
        <v>0</v>
      </c>
      <c r="AF18" s="13">
        <v>1</v>
      </c>
      <c r="AG18" s="13">
        <v>0</v>
      </c>
      <c r="AH18" s="13">
        <v>1</v>
      </c>
      <c r="AI18" s="13">
        <v>0</v>
      </c>
      <c r="AJ18">
        <f>SUM(AB18:AI18)</f>
        <v>36</v>
      </c>
      <c r="AM18" t="s">
        <v>10</v>
      </c>
      <c r="AN18" s="13">
        <v>11</v>
      </c>
      <c r="AO18" s="13">
        <v>1</v>
      </c>
      <c r="AP18" s="13">
        <v>1</v>
      </c>
      <c r="AQ18" s="13">
        <v>0</v>
      </c>
      <c r="AR18" s="13">
        <v>0</v>
      </c>
      <c r="AS18" s="13">
        <v>0</v>
      </c>
      <c r="AT18" s="13">
        <v>1</v>
      </c>
      <c r="AU18" s="13">
        <v>0</v>
      </c>
      <c r="AV18">
        <f>SUM(AN18:AU18)</f>
        <v>14</v>
      </c>
      <c r="AY18" s="13" t="s">
        <v>10</v>
      </c>
      <c r="AZ18" s="13">
        <v>31</v>
      </c>
      <c r="BA18" s="13">
        <v>2</v>
      </c>
      <c r="BB18" s="13">
        <v>0</v>
      </c>
      <c r="BC18" s="13">
        <v>0</v>
      </c>
      <c r="BD18" s="13">
        <v>1</v>
      </c>
      <c r="BE18" s="13">
        <v>0</v>
      </c>
      <c r="BF18" s="13">
        <v>1</v>
      </c>
      <c r="BG18" s="13">
        <v>0</v>
      </c>
      <c r="BH18">
        <f>SUM(AZ18:BG18)</f>
        <v>35</v>
      </c>
      <c r="BK18" s="13" t="s">
        <v>10</v>
      </c>
      <c r="BL18" s="13">
        <f t="shared" ref="BL18:BL20" si="33">AVERAGE(D18,P18,AB18,AN18,AZ18)</f>
        <v>25.6</v>
      </c>
      <c r="BM18" s="13">
        <f t="shared" ref="BM18:BM20" si="34">AVERAGE(E18,Q18,AC18,AO18,BA18)</f>
        <v>2.6</v>
      </c>
      <c r="BN18" s="13">
        <f t="shared" ref="BN18:BN20" si="35">AVERAGE(F18,R18,AD18,AP18,BB18)</f>
        <v>0.2</v>
      </c>
      <c r="BO18" s="13">
        <f t="shared" ref="BO18:BO20" si="36">AVERAGE(G18,S18,AE18,AQ18,BC18)</f>
        <v>0.8</v>
      </c>
      <c r="BP18" s="13">
        <f t="shared" ref="BP18:BP20" si="37">AVERAGE(H18,T18,AF18,AR18,BD18)</f>
        <v>1</v>
      </c>
      <c r="BQ18" s="13">
        <f t="shared" ref="BQ18:BQ20" si="38">AVERAGE(I18,U18,AG18,AS18,BE18)</f>
        <v>0</v>
      </c>
      <c r="BR18" s="13">
        <f t="shared" ref="BR18:BR20" si="39">AVERAGE(J18,V18,AH18,AT18,BF18)</f>
        <v>1</v>
      </c>
      <c r="BS18" s="13">
        <f t="shared" ref="BS18:BS20" si="40">AVERAGE(K18,W18,AI18,AU18,BG18)</f>
        <v>0</v>
      </c>
      <c r="BT18">
        <f t="shared" ref="BT18:BT20" si="41">SUM(BL18:BS18)</f>
        <v>31.200000000000003</v>
      </c>
      <c r="BU18">
        <f>AVERAGE(L18,X18,AJ18,AV18,BH18)</f>
        <v>31.2</v>
      </c>
    </row>
    <row r="19" spans="2:73" ht="15.95">
      <c r="C19" s="5" t="s">
        <v>11</v>
      </c>
      <c r="D19" s="5">
        <v>11</v>
      </c>
      <c r="E19" s="5">
        <v>2</v>
      </c>
      <c r="F19" s="5">
        <v>0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11">
        <f t="shared" ref="L19:L20" si="42">SUM(D19:K19)</f>
        <v>16</v>
      </c>
      <c r="O19" s="5" t="s">
        <v>11</v>
      </c>
      <c r="P19" s="5">
        <v>3</v>
      </c>
      <c r="Q19" s="5">
        <v>2</v>
      </c>
      <c r="R19" s="5">
        <v>0</v>
      </c>
      <c r="S19" s="5">
        <v>0</v>
      </c>
      <c r="T19" s="5">
        <v>2</v>
      </c>
      <c r="U19" s="5">
        <v>0</v>
      </c>
      <c r="V19" s="5">
        <v>0</v>
      </c>
      <c r="W19" s="5">
        <v>0</v>
      </c>
      <c r="X19" s="11">
        <f t="shared" ref="X19:X20" si="43">SUM(P19:W19)</f>
        <v>7</v>
      </c>
      <c r="AA19" s="5" t="s">
        <v>11</v>
      </c>
      <c r="AB19" s="5">
        <v>12</v>
      </c>
      <c r="AC19" s="5">
        <v>1</v>
      </c>
      <c r="AD19" s="5">
        <v>0</v>
      </c>
      <c r="AE19" s="5">
        <v>0</v>
      </c>
      <c r="AF19" s="13">
        <v>1</v>
      </c>
      <c r="AG19" s="13">
        <v>0</v>
      </c>
      <c r="AH19" s="13">
        <v>0</v>
      </c>
      <c r="AI19" s="13">
        <v>0</v>
      </c>
      <c r="AJ19">
        <f t="shared" ref="AJ19:AJ20" si="44">SUM(AB19:AI19)</f>
        <v>14</v>
      </c>
      <c r="AM19" t="s">
        <v>11</v>
      </c>
      <c r="AN19" s="13">
        <v>2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>
        <f t="shared" ref="AV19:AV20" si="45">SUM(AN19:AU19)</f>
        <v>2</v>
      </c>
      <c r="AY19" s="13" t="s">
        <v>11</v>
      </c>
      <c r="AZ19" s="13">
        <v>4</v>
      </c>
      <c r="BA19" s="13">
        <v>1</v>
      </c>
      <c r="BB19" s="13">
        <v>0</v>
      </c>
      <c r="BC19" s="13">
        <v>0</v>
      </c>
      <c r="BD19" s="13">
        <v>1</v>
      </c>
      <c r="BE19" s="13">
        <v>0</v>
      </c>
      <c r="BF19" s="13">
        <v>0</v>
      </c>
      <c r="BG19" s="13">
        <v>0</v>
      </c>
      <c r="BH19">
        <f t="shared" ref="BH19:BH20" si="46">SUM(AZ19:BG19)</f>
        <v>6</v>
      </c>
      <c r="BK19" s="13" t="s">
        <v>11</v>
      </c>
      <c r="BL19" s="13">
        <f t="shared" si="33"/>
        <v>6.4</v>
      </c>
      <c r="BM19" s="13">
        <f t="shared" si="34"/>
        <v>1.2</v>
      </c>
      <c r="BN19" s="13">
        <f t="shared" si="35"/>
        <v>0</v>
      </c>
      <c r="BO19" s="13">
        <f t="shared" si="36"/>
        <v>0.2</v>
      </c>
      <c r="BP19" s="13">
        <f t="shared" si="37"/>
        <v>1.2</v>
      </c>
      <c r="BQ19" s="13">
        <f t="shared" si="38"/>
        <v>0</v>
      </c>
      <c r="BR19" s="13">
        <f t="shared" si="39"/>
        <v>0</v>
      </c>
      <c r="BS19" s="13">
        <f t="shared" si="40"/>
        <v>0</v>
      </c>
      <c r="BT19">
        <f t="shared" si="41"/>
        <v>9</v>
      </c>
      <c r="BU19">
        <f t="shared" ref="BU19:BU21" si="47">AVERAGE(L19,X19,AJ19,AV19,BH19)</f>
        <v>9</v>
      </c>
    </row>
    <row r="20" spans="2:73" ht="15.95">
      <c r="C20" t="s">
        <v>12</v>
      </c>
      <c r="D20">
        <v>2</v>
      </c>
      <c r="E20">
        <v>0</v>
      </c>
      <c r="F20">
        <v>0</v>
      </c>
      <c r="G20">
        <v>0</v>
      </c>
      <c r="H20">
        <v>7</v>
      </c>
      <c r="I20">
        <v>0</v>
      </c>
      <c r="J20">
        <v>0</v>
      </c>
      <c r="K20">
        <v>0</v>
      </c>
      <c r="L20" s="11">
        <f t="shared" si="42"/>
        <v>9</v>
      </c>
      <c r="O20" t="s">
        <v>12</v>
      </c>
      <c r="P20">
        <v>2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 s="11">
        <f t="shared" si="43"/>
        <v>6</v>
      </c>
      <c r="AA20" t="s">
        <v>12</v>
      </c>
      <c r="AB20">
        <v>2</v>
      </c>
      <c r="AC20">
        <v>0</v>
      </c>
      <c r="AD20">
        <v>0</v>
      </c>
      <c r="AE20">
        <v>0</v>
      </c>
      <c r="AF20">
        <v>4</v>
      </c>
      <c r="AG20">
        <v>0</v>
      </c>
      <c r="AH20">
        <v>0</v>
      </c>
      <c r="AI20">
        <v>0</v>
      </c>
      <c r="AJ20">
        <f t="shared" si="44"/>
        <v>6</v>
      </c>
      <c r="AM20" t="s">
        <v>12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f t="shared" si="45"/>
        <v>2</v>
      </c>
      <c r="AY20" t="s">
        <v>12</v>
      </c>
      <c r="AZ20">
        <v>3</v>
      </c>
      <c r="BA20">
        <v>0</v>
      </c>
      <c r="BB20">
        <v>0</v>
      </c>
      <c r="BC20">
        <v>0</v>
      </c>
      <c r="BD20">
        <v>3</v>
      </c>
      <c r="BE20">
        <v>0</v>
      </c>
      <c r="BF20">
        <v>0</v>
      </c>
      <c r="BG20">
        <v>0</v>
      </c>
      <c r="BH20">
        <f t="shared" si="46"/>
        <v>6</v>
      </c>
      <c r="BK20" t="s">
        <v>12</v>
      </c>
      <c r="BL20" s="13">
        <f t="shared" si="33"/>
        <v>2.2000000000000002</v>
      </c>
      <c r="BM20" s="13">
        <f t="shared" si="34"/>
        <v>0</v>
      </c>
      <c r="BN20" s="13">
        <f t="shared" si="35"/>
        <v>0</v>
      </c>
      <c r="BO20" s="13">
        <f t="shared" si="36"/>
        <v>0</v>
      </c>
      <c r="BP20" s="13">
        <f t="shared" si="37"/>
        <v>3.6</v>
      </c>
      <c r="BQ20" s="13">
        <f t="shared" si="38"/>
        <v>0</v>
      </c>
      <c r="BR20" s="13">
        <f t="shared" si="39"/>
        <v>0</v>
      </c>
      <c r="BS20" s="13">
        <f t="shared" si="40"/>
        <v>0</v>
      </c>
      <c r="BT20">
        <f t="shared" si="41"/>
        <v>5.8000000000000007</v>
      </c>
      <c r="BU20">
        <f t="shared" si="47"/>
        <v>5.8</v>
      </c>
    </row>
    <row r="21" spans="2:73" ht="15.95">
      <c r="L21" s="11">
        <f>SUM(L18:L20)</f>
        <v>63</v>
      </c>
      <c r="X21" s="11">
        <f>SUM(X18:X20)</f>
        <v>46</v>
      </c>
      <c r="AJ21">
        <f>SUM(AJ18:AJ20)</f>
        <v>56</v>
      </c>
      <c r="AV21">
        <f>SUM(AV18:AV20)</f>
        <v>18</v>
      </c>
      <c r="BH21">
        <f>SUM(BH18:BH20)</f>
        <v>47</v>
      </c>
      <c r="BT21" s="13">
        <f t="shared" ref="BT21" si="48">SUM(BT18,BT19,BT20)</f>
        <v>46</v>
      </c>
      <c r="BU21">
        <f t="shared" si="47"/>
        <v>46</v>
      </c>
    </row>
    <row r="22" spans="2:73" ht="15.95">
      <c r="B22" t="s">
        <v>20</v>
      </c>
      <c r="C22" s="5" t="s">
        <v>98</v>
      </c>
      <c r="D22" t="s">
        <v>25</v>
      </c>
      <c r="E22" s="5" t="s">
        <v>14</v>
      </c>
      <c r="F22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t="s">
        <v>9</v>
      </c>
      <c r="N22" t="s">
        <v>20</v>
      </c>
      <c r="O22" s="5" t="s">
        <v>98</v>
      </c>
      <c r="P22" t="s">
        <v>25</v>
      </c>
      <c r="Q22" s="5" t="s">
        <v>14</v>
      </c>
      <c r="R22" t="s">
        <v>4</v>
      </c>
      <c r="S22" s="5" t="s">
        <v>5</v>
      </c>
      <c r="T22" s="5" t="s">
        <v>6</v>
      </c>
      <c r="U22" s="5" t="s">
        <v>7</v>
      </c>
      <c r="V22" s="5" t="s">
        <v>8</v>
      </c>
      <c r="W22" t="s">
        <v>9</v>
      </c>
      <c r="Z22" t="s">
        <v>20</v>
      </c>
      <c r="AA22" s="5" t="s">
        <v>98</v>
      </c>
      <c r="AB22" t="s">
        <v>25</v>
      </c>
      <c r="AC22" s="5" t="s">
        <v>14</v>
      </c>
      <c r="AD22" t="s">
        <v>4</v>
      </c>
      <c r="AE22" s="5" t="s">
        <v>5</v>
      </c>
      <c r="AF22" s="13" t="s">
        <v>6</v>
      </c>
      <c r="AG22" s="13" t="s">
        <v>7</v>
      </c>
      <c r="AH22" s="13" t="s">
        <v>8</v>
      </c>
      <c r="AI22" t="s">
        <v>9</v>
      </c>
      <c r="AL22" t="s">
        <v>13</v>
      </c>
      <c r="AM22" t="s">
        <v>98</v>
      </c>
      <c r="AN22" t="s">
        <v>25</v>
      </c>
      <c r="AO22" s="13" t="s">
        <v>14</v>
      </c>
      <c r="AP22" t="s">
        <v>4</v>
      </c>
      <c r="AQ22" s="13" t="s">
        <v>5</v>
      </c>
      <c r="AR22" s="13" t="s">
        <v>6</v>
      </c>
      <c r="AS22" s="13" t="s">
        <v>7</v>
      </c>
      <c r="AT22" s="13" t="s">
        <v>8</v>
      </c>
      <c r="AU22" t="s">
        <v>9</v>
      </c>
      <c r="AX22" t="s">
        <v>20</v>
      </c>
      <c r="AY22" s="13" t="s">
        <v>98</v>
      </c>
      <c r="AZ22" t="s">
        <v>25</v>
      </c>
      <c r="BA22" s="13" t="s">
        <v>14</v>
      </c>
      <c r="BB22" t="s">
        <v>4</v>
      </c>
      <c r="BC22" s="13" t="s">
        <v>5</v>
      </c>
      <c r="BD22" s="13" t="s">
        <v>6</v>
      </c>
      <c r="BE22" s="13" t="s">
        <v>7</v>
      </c>
      <c r="BF22" s="13" t="s">
        <v>8</v>
      </c>
      <c r="BG22" t="s">
        <v>9</v>
      </c>
      <c r="BJ22" t="s">
        <v>26</v>
      </c>
      <c r="BK22" s="13" t="s">
        <v>98</v>
      </c>
      <c r="BL22" t="s">
        <v>25</v>
      </c>
      <c r="BM22" s="13" t="s">
        <v>14</v>
      </c>
      <c r="BN22" t="s">
        <v>4</v>
      </c>
      <c r="BO22" s="13" t="s">
        <v>5</v>
      </c>
      <c r="BP22" s="13" t="s">
        <v>6</v>
      </c>
      <c r="BQ22" s="13" t="s">
        <v>7</v>
      </c>
      <c r="BR22" s="13" t="s">
        <v>8</v>
      </c>
      <c r="BS22" t="s">
        <v>9</v>
      </c>
    </row>
    <row r="23" spans="2:73" ht="15.95">
      <c r="C23" s="5" t="s">
        <v>10</v>
      </c>
      <c r="D23" s="5">
        <v>69</v>
      </c>
      <c r="E23" s="5">
        <v>13</v>
      </c>
      <c r="F23" s="5">
        <v>1</v>
      </c>
      <c r="G23" s="5">
        <v>3</v>
      </c>
      <c r="H23" s="5">
        <v>3</v>
      </c>
      <c r="I23" s="5">
        <v>0</v>
      </c>
      <c r="J23" s="5">
        <v>1</v>
      </c>
      <c r="K23" s="5">
        <v>0</v>
      </c>
      <c r="L23" s="11">
        <f>SUM(D23:K23)</f>
        <v>90</v>
      </c>
      <c r="O23" s="5" t="s">
        <v>10</v>
      </c>
      <c r="P23" s="5">
        <v>47</v>
      </c>
      <c r="Q23" s="5">
        <v>10</v>
      </c>
      <c r="R23" s="5">
        <v>0</v>
      </c>
      <c r="S23" s="5">
        <v>2</v>
      </c>
      <c r="T23" s="5">
        <v>2</v>
      </c>
      <c r="U23" s="5">
        <v>1</v>
      </c>
      <c r="V23" s="5">
        <v>0</v>
      </c>
      <c r="W23" s="5">
        <v>1</v>
      </c>
      <c r="X23" s="11">
        <f>SUM(P23:W23)</f>
        <v>63</v>
      </c>
      <c r="AA23" s="5" t="s">
        <v>10</v>
      </c>
      <c r="AB23" s="5">
        <v>65</v>
      </c>
      <c r="AC23" s="5">
        <v>14</v>
      </c>
      <c r="AD23" s="5">
        <v>0</v>
      </c>
      <c r="AE23" s="5">
        <v>2</v>
      </c>
      <c r="AF23" s="13">
        <v>2</v>
      </c>
      <c r="AG23" s="13">
        <v>1</v>
      </c>
      <c r="AH23" s="13">
        <v>0</v>
      </c>
      <c r="AI23" s="13">
        <v>1</v>
      </c>
      <c r="AJ23">
        <f>SUM(AB23:AI23)</f>
        <v>85</v>
      </c>
      <c r="AM23" t="s">
        <v>10</v>
      </c>
      <c r="AN23" s="13">
        <v>24</v>
      </c>
      <c r="AO23" s="13">
        <v>15</v>
      </c>
      <c r="AP23" s="13">
        <v>0</v>
      </c>
      <c r="AQ23" s="13">
        <v>0</v>
      </c>
      <c r="AR23" s="13">
        <v>2</v>
      </c>
      <c r="AS23" s="13">
        <v>0</v>
      </c>
      <c r="AT23" s="13">
        <v>1</v>
      </c>
      <c r="AU23" s="13">
        <v>0</v>
      </c>
      <c r="AV23">
        <f>SUM(AN23:AU23)</f>
        <v>42</v>
      </c>
      <c r="AY23" s="13" t="s">
        <v>10</v>
      </c>
      <c r="AZ23" s="13">
        <v>68</v>
      </c>
      <c r="BA23" s="13">
        <v>14</v>
      </c>
      <c r="BB23" s="13">
        <v>0</v>
      </c>
      <c r="BC23" s="13">
        <v>3</v>
      </c>
      <c r="BD23" s="13">
        <v>2</v>
      </c>
      <c r="BE23" s="13">
        <v>1</v>
      </c>
      <c r="BF23" s="13">
        <v>0</v>
      </c>
      <c r="BG23" s="13">
        <v>0</v>
      </c>
      <c r="BH23">
        <f>SUM(AZ23:BG23)</f>
        <v>88</v>
      </c>
      <c r="BK23" s="13" t="s">
        <v>10</v>
      </c>
      <c r="BL23" s="13">
        <f t="shared" ref="BL23:BL25" si="49">AVERAGE(D23,P23,AB23,AN23,AZ23)</f>
        <v>54.6</v>
      </c>
      <c r="BM23" s="13">
        <f t="shared" ref="BM23:BM25" si="50">AVERAGE(E23,Q23,AC23,AO23,BA23)</f>
        <v>13.2</v>
      </c>
      <c r="BN23" s="13">
        <f t="shared" ref="BN23:BN25" si="51">AVERAGE(F23,R23,AD23,AP23,BB23)</f>
        <v>0.2</v>
      </c>
      <c r="BO23" s="13">
        <f t="shared" ref="BO23:BO25" si="52">AVERAGE(G23,S23,AE23,AQ23,BC23)</f>
        <v>2</v>
      </c>
      <c r="BP23" s="13">
        <f t="shared" ref="BP23:BP25" si="53">AVERAGE(H23,T23,AF23,AR23,BD23)</f>
        <v>2.2000000000000002</v>
      </c>
      <c r="BQ23" s="13">
        <f t="shared" ref="BQ23:BQ25" si="54">AVERAGE(I23,U23,AG23,AS23,BE23)</f>
        <v>0.6</v>
      </c>
      <c r="BR23" s="13">
        <f t="shared" ref="BR23:BR25" si="55">AVERAGE(J23,V23,AH23,AT23,BF23)</f>
        <v>0.4</v>
      </c>
      <c r="BS23" s="13">
        <f t="shared" ref="BS23:BS25" si="56">AVERAGE(K23,W23,AI23,AU23,BG23)</f>
        <v>0.4</v>
      </c>
      <c r="BT23">
        <f t="shared" ref="BT23:BT25" si="57">SUM(BL23:BS23)</f>
        <v>73.600000000000009</v>
      </c>
      <c r="BU23">
        <f>AVERAGE(L23,X23,AJ23,AV23,BH23)</f>
        <v>73.599999999999994</v>
      </c>
    </row>
    <row r="24" spans="2:73" ht="15.95">
      <c r="C24" s="5" t="s">
        <v>11</v>
      </c>
      <c r="D24" s="5">
        <v>14</v>
      </c>
      <c r="E24" s="5">
        <v>3</v>
      </c>
      <c r="F24" s="5">
        <v>0</v>
      </c>
      <c r="G24" s="5">
        <v>1</v>
      </c>
      <c r="H24" s="5">
        <v>2</v>
      </c>
      <c r="I24" s="5">
        <v>0</v>
      </c>
      <c r="J24" s="5">
        <v>0</v>
      </c>
      <c r="K24" s="5">
        <v>0</v>
      </c>
      <c r="L24" s="11">
        <f t="shared" ref="L24:L25" si="58">SUM(D24:K24)</f>
        <v>20</v>
      </c>
      <c r="O24" s="5" t="s">
        <v>11</v>
      </c>
      <c r="P24" s="5">
        <v>10</v>
      </c>
      <c r="Q24" s="5">
        <v>2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11">
        <f t="shared" ref="X24:X25" si="59">SUM(P24:W24)</f>
        <v>13</v>
      </c>
      <c r="AA24" s="5" t="s">
        <v>11</v>
      </c>
      <c r="AB24" s="5">
        <v>13</v>
      </c>
      <c r="AC24" s="5">
        <v>4</v>
      </c>
      <c r="AD24" s="5">
        <v>0</v>
      </c>
      <c r="AE24" s="5">
        <v>0</v>
      </c>
      <c r="AF24" s="13">
        <v>0</v>
      </c>
      <c r="AG24" s="13">
        <v>0</v>
      </c>
      <c r="AH24" s="13">
        <v>0</v>
      </c>
      <c r="AI24" s="13">
        <v>0</v>
      </c>
      <c r="AJ24">
        <f t="shared" ref="AJ24:AJ25" si="60">SUM(AB24:AI24)</f>
        <v>17</v>
      </c>
      <c r="AM24" t="s">
        <v>11</v>
      </c>
      <c r="AN24" s="13">
        <v>6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>
        <f t="shared" ref="AV24:AV25" si="61">SUM(AN24:AU24)</f>
        <v>6</v>
      </c>
      <c r="AY24" s="13" t="s">
        <v>11</v>
      </c>
      <c r="AZ24" s="13">
        <v>16</v>
      </c>
      <c r="BA24" s="13">
        <v>2</v>
      </c>
      <c r="BB24" s="13">
        <v>0</v>
      </c>
      <c r="BC24" s="13">
        <v>1</v>
      </c>
      <c r="BD24" s="13">
        <v>0</v>
      </c>
      <c r="BE24" s="13">
        <v>0</v>
      </c>
      <c r="BF24" s="13">
        <v>0</v>
      </c>
      <c r="BG24" s="13">
        <v>0</v>
      </c>
      <c r="BH24">
        <f t="shared" ref="BH24:BH25" si="62">SUM(AZ24:BG24)</f>
        <v>19</v>
      </c>
      <c r="BK24" s="13" t="s">
        <v>11</v>
      </c>
      <c r="BL24" s="13">
        <f t="shared" si="49"/>
        <v>11.8</v>
      </c>
      <c r="BM24" s="13">
        <f t="shared" si="50"/>
        <v>2.2000000000000002</v>
      </c>
      <c r="BN24" s="13">
        <f t="shared" si="51"/>
        <v>0</v>
      </c>
      <c r="BO24" s="13">
        <f t="shared" si="52"/>
        <v>0.6</v>
      </c>
      <c r="BP24" s="13">
        <f t="shared" si="53"/>
        <v>0.4</v>
      </c>
      <c r="BQ24" s="13">
        <f t="shared" si="54"/>
        <v>0</v>
      </c>
      <c r="BR24" s="13">
        <f t="shared" si="55"/>
        <v>0</v>
      </c>
      <c r="BS24" s="13">
        <f t="shared" si="56"/>
        <v>0</v>
      </c>
      <c r="BT24">
        <f t="shared" si="57"/>
        <v>15</v>
      </c>
      <c r="BU24">
        <f t="shared" ref="BU24:BU26" si="63">AVERAGE(L24,X24,AJ24,AV24,BH24)</f>
        <v>15</v>
      </c>
    </row>
    <row r="25" spans="2:73" ht="15.95">
      <c r="C25" t="s">
        <v>12</v>
      </c>
      <c r="D25">
        <v>3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 s="11">
        <f t="shared" si="58"/>
        <v>5</v>
      </c>
      <c r="O25" t="s">
        <v>12</v>
      </c>
      <c r="P25">
        <v>1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 s="11">
        <f t="shared" si="59"/>
        <v>3</v>
      </c>
      <c r="AA25" t="s">
        <v>12</v>
      </c>
      <c r="AB25">
        <v>1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f t="shared" si="60"/>
        <v>3</v>
      </c>
      <c r="AM25" t="s">
        <v>12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f t="shared" si="61"/>
        <v>1</v>
      </c>
      <c r="AY25" t="s">
        <v>12</v>
      </c>
      <c r="AZ25">
        <v>1</v>
      </c>
      <c r="BA25">
        <v>0</v>
      </c>
      <c r="BB25">
        <v>0</v>
      </c>
      <c r="BC25">
        <v>0</v>
      </c>
      <c r="BD25">
        <v>2</v>
      </c>
      <c r="BE25">
        <v>0</v>
      </c>
      <c r="BF25">
        <v>0</v>
      </c>
      <c r="BG25">
        <v>0</v>
      </c>
      <c r="BH25">
        <f t="shared" si="62"/>
        <v>3</v>
      </c>
      <c r="BK25" t="s">
        <v>12</v>
      </c>
      <c r="BL25" s="13">
        <f t="shared" si="49"/>
        <v>1.4</v>
      </c>
      <c r="BM25" s="13">
        <f t="shared" si="50"/>
        <v>0.2</v>
      </c>
      <c r="BN25" s="13">
        <f t="shared" si="51"/>
        <v>0</v>
      </c>
      <c r="BO25" s="13">
        <f t="shared" si="52"/>
        <v>0</v>
      </c>
      <c r="BP25" s="13">
        <f t="shared" si="53"/>
        <v>1.4</v>
      </c>
      <c r="BQ25" s="13">
        <f t="shared" si="54"/>
        <v>0</v>
      </c>
      <c r="BR25" s="13">
        <f t="shared" si="55"/>
        <v>0</v>
      </c>
      <c r="BS25" s="13">
        <f t="shared" si="56"/>
        <v>0</v>
      </c>
      <c r="BT25">
        <f t="shared" si="57"/>
        <v>3</v>
      </c>
      <c r="BU25">
        <f t="shared" si="63"/>
        <v>3</v>
      </c>
    </row>
    <row r="26" spans="2:73" ht="15.95">
      <c r="L26" s="11">
        <f>SUM(L23:L25)</f>
        <v>115</v>
      </c>
      <c r="X26" s="11">
        <f>SUM(X23:X25)</f>
        <v>79</v>
      </c>
      <c r="AJ26">
        <f>SUM(AJ23:AJ25)</f>
        <v>105</v>
      </c>
      <c r="AV26">
        <f>SUM(AV23:AV25)</f>
        <v>49</v>
      </c>
      <c r="BH26">
        <f>SUM(BH23:BH25)</f>
        <v>110</v>
      </c>
      <c r="BT26" s="13">
        <f t="shared" ref="BT26" si="64">SUM(BT23,BT24,BT25)</f>
        <v>91.600000000000009</v>
      </c>
      <c r="BU26">
        <f t="shared" si="63"/>
        <v>91.6</v>
      </c>
    </row>
    <row r="27" spans="2:73" ht="15.95">
      <c r="B27" t="s">
        <v>20</v>
      </c>
      <c r="C27" s="5" t="s">
        <v>99</v>
      </c>
      <c r="D27" t="s">
        <v>25</v>
      </c>
      <c r="E27" s="5" t="s">
        <v>14</v>
      </c>
      <c r="F27" t="s">
        <v>4</v>
      </c>
      <c r="G27" s="5" t="s">
        <v>5</v>
      </c>
      <c r="H27" s="5" t="s">
        <v>6</v>
      </c>
      <c r="I27" s="5" t="s">
        <v>7</v>
      </c>
      <c r="J27" s="5" t="s">
        <v>8</v>
      </c>
      <c r="K27" t="s">
        <v>9</v>
      </c>
      <c r="N27" t="s">
        <v>20</v>
      </c>
      <c r="O27" s="5" t="s">
        <v>99</v>
      </c>
      <c r="P27" t="s">
        <v>25</v>
      </c>
      <c r="Q27" s="5" t="s">
        <v>14</v>
      </c>
      <c r="R27" t="s">
        <v>4</v>
      </c>
      <c r="S27" s="5" t="s">
        <v>5</v>
      </c>
      <c r="T27" s="5" t="s">
        <v>6</v>
      </c>
      <c r="U27" s="5" t="s">
        <v>7</v>
      </c>
      <c r="V27" s="5" t="s">
        <v>8</v>
      </c>
      <c r="W27" t="s">
        <v>9</v>
      </c>
      <c r="AL27" t="s">
        <v>13</v>
      </c>
      <c r="AM27" t="s">
        <v>99</v>
      </c>
      <c r="AN27" t="s">
        <v>25</v>
      </c>
      <c r="AO27" s="13" t="s">
        <v>14</v>
      </c>
      <c r="AP27" t="s">
        <v>4</v>
      </c>
      <c r="AQ27" s="13" t="s">
        <v>5</v>
      </c>
      <c r="AR27" s="13" t="s">
        <v>6</v>
      </c>
      <c r="AS27" s="13" t="s">
        <v>7</v>
      </c>
      <c r="AT27" s="13" t="s">
        <v>8</v>
      </c>
      <c r="AU27" t="s">
        <v>9</v>
      </c>
      <c r="BJ27" t="s">
        <v>26</v>
      </c>
      <c r="BK27" s="13" t="s">
        <v>99</v>
      </c>
      <c r="BL27" t="s">
        <v>25</v>
      </c>
      <c r="BM27" s="13" t="s">
        <v>14</v>
      </c>
      <c r="BN27" t="s">
        <v>4</v>
      </c>
      <c r="BO27" s="13" t="s">
        <v>5</v>
      </c>
      <c r="BP27" s="13" t="s">
        <v>6</v>
      </c>
      <c r="BQ27" s="13" t="s">
        <v>7</v>
      </c>
      <c r="BR27" s="13" t="s">
        <v>8</v>
      </c>
      <c r="BS27" t="s">
        <v>9</v>
      </c>
    </row>
    <row r="28" spans="2:73" ht="15.95">
      <c r="C28" s="5" t="s">
        <v>10</v>
      </c>
      <c r="D28" s="5">
        <v>31</v>
      </c>
      <c r="E28" s="5">
        <v>6</v>
      </c>
      <c r="F28" s="5">
        <v>0</v>
      </c>
      <c r="G28" s="5">
        <v>3</v>
      </c>
      <c r="H28" s="5">
        <v>0</v>
      </c>
      <c r="I28" s="5">
        <v>0</v>
      </c>
      <c r="J28" s="5">
        <v>0</v>
      </c>
      <c r="K28" s="5">
        <v>0</v>
      </c>
      <c r="L28" s="11">
        <f>SUM(D28:K28)</f>
        <v>40</v>
      </c>
      <c r="O28" s="5" t="s">
        <v>10</v>
      </c>
      <c r="P28" s="5">
        <v>34</v>
      </c>
      <c r="Q28" s="5">
        <v>6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11">
        <f>SUM(P28:W28)</f>
        <v>41</v>
      </c>
      <c r="AM28" t="s">
        <v>10</v>
      </c>
      <c r="AN28" s="13">
        <v>11</v>
      </c>
      <c r="AO28" s="13">
        <v>1</v>
      </c>
      <c r="AP28" s="13">
        <v>1</v>
      </c>
      <c r="AQ28" s="13">
        <v>0</v>
      </c>
      <c r="AR28" s="13">
        <v>0</v>
      </c>
      <c r="AS28" s="13">
        <v>0</v>
      </c>
      <c r="AT28" s="13">
        <v>1</v>
      </c>
      <c r="AU28" s="13">
        <v>0</v>
      </c>
      <c r="AV28">
        <f>SUM(AN28:AU28)</f>
        <v>14</v>
      </c>
      <c r="BK28" s="13" t="s">
        <v>10</v>
      </c>
      <c r="BL28" s="13">
        <f t="shared" ref="BL28:BL30" si="65">AVERAGE(D28,P28,AB28,AN28,AZ28)</f>
        <v>25.333333333333332</v>
      </c>
      <c r="BM28" s="13">
        <f t="shared" ref="BM28:BM30" si="66">AVERAGE(E28,Q28,AC28,AO28,BA28)</f>
        <v>4.333333333333333</v>
      </c>
      <c r="BN28" s="13">
        <f t="shared" ref="BN28:BN30" si="67">AVERAGE(F28,R28,AD28,AP28,BB28)</f>
        <v>0.33333333333333331</v>
      </c>
      <c r="BO28" s="13">
        <f t="shared" ref="BO28:BO30" si="68">AVERAGE(G28,S28,AE28,AQ28,BC28)</f>
        <v>1.3333333333333333</v>
      </c>
      <c r="BP28" s="13">
        <f t="shared" ref="BP28:BP30" si="69">AVERAGE(H28,T28,AF28,AR28,BD28)</f>
        <v>0</v>
      </c>
      <c r="BQ28" s="13">
        <f t="shared" ref="BQ28:BQ30" si="70">AVERAGE(I28,U28,AG28,AS28,BE28)</f>
        <v>0</v>
      </c>
      <c r="BR28" s="13">
        <f t="shared" ref="BR28:BR30" si="71">AVERAGE(J28,V28,AH28,AT28,BF28)</f>
        <v>0.33333333333333331</v>
      </c>
      <c r="BS28" s="13">
        <f t="shared" ref="BS28:BS30" si="72">AVERAGE(K28,W28,AI28,AU28,BG28)</f>
        <v>0</v>
      </c>
      <c r="BT28">
        <f t="shared" ref="BT28:BT30" si="73">SUM(BL28:BS28)</f>
        <v>31.666666666666661</v>
      </c>
      <c r="BU28">
        <f>AVERAGE(L28,X28,AJ28,AV28,BH28)</f>
        <v>31.666666666666668</v>
      </c>
    </row>
    <row r="29" spans="2:73" ht="15.95">
      <c r="C29" s="5" t="s">
        <v>11</v>
      </c>
      <c r="D29" s="5">
        <v>16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11">
        <f t="shared" ref="L29:L30" si="74">SUM(D29:K29)</f>
        <v>19</v>
      </c>
      <c r="O29" s="5" t="s">
        <v>11</v>
      </c>
      <c r="P29" s="5">
        <v>15</v>
      </c>
      <c r="Q29" s="5">
        <v>3</v>
      </c>
      <c r="R29" s="5">
        <v>0</v>
      </c>
      <c r="S29" s="5">
        <v>1</v>
      </c>
      <c r="T29" s="5">
        <v>1</v>
      </c>
      <c r="U29" s="5">
        <v>0</v>
      </c>
      <c r="V29" s="5">
        <v>0</v>
      </c>
      <c r="W29" s="5">
        <v>0</v>
      </c>
      <c r="X29" s="11">
        <f t="shared" ref="X29:X30" si="75">SUM(P29:W29)</f>
        <v>20</v>
      </c>
      <c r="AM29" t="s">
        <v>11</v>
      </c>
      <c r="AN29" s="13">
        <v>2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>
        <f t="shared" ref="AV29:AV30" si="76">SUM(AN29:AU29)</f>
        <v>2</v>
      </c>
      <c r="BK29" s="13" t="s">
        <v>11</v>
      </c>
      <c r="BL29" s="13">
        <f t="shared" si="65"/>
        <v>11</v>
      </c>
      <c r="BM29" s="13">
        <f t="shared" si="66"/>
        <v>2</v>
      </c>
      <c r="BN29" s="13">
        <f t="shared" si="67"/>
        <v>0</v>
      </c>
      <c r="BO29" s="13">
        <f t="shared" si="68"/>
        <v>0.33333333333333331</v>
      </c>
      <c r="BP29" s="13">
        <f t="shared" si="69"/>
        <v>0.33333333333333331</v>
      </c>
      <c r="BQ29" s="13">
        <f t="shared" si="70"/>
        <v>0</v>
      </c>
      <c r="BR29" s="13">
        <f t="shared" si="71"/>
        <v>0</v>
      </c>
      <c r="BS29" s="13">
        <f t="shared" si="72"/>
        <v>0</v>
      </c>
      <c r="BT29">
        <f t="shared" si="73"/>
        <v>13.666666666666668</v>
      </c>
      <c r="BU29">
        <f t="shared" ref="BU29:BU31" si="77">AVERAGE(L29,X29,AJ29,AV29,BH29)</f>
        <v>13.666666666666666</v>
      </c>
    </row>
    <row r="30" spans="2:73" ht="15.95">
      <c r="C30" t="s">
        <v>12</v>
      </c>
      <c r="D30">
        <v>13</v>
      </c>
      <c r="E30">
        <v>1</v>
      </c>
      <c r="F30">
        <v>0</v>
      </c>
      <c r="G30">
        <v>0</v>
      </c>
      <c r="H30">
        <v>23</v>
      </c>
      <c r="I30">
        <v>0</v>
      </c>
      <c r="J30">
        <v>0</v>
      </c>
      <c r="K30">
        <v>0</v>
      </c>
      <c r="L30" s="11">
        <f t="shared" si="74"/>
        <v>37</v>
      </c>
      <c r="O30" t="s">
        <v>12</v>
      </c>
      <c r="P30">
        <v>15</v>
      </c>
      <c r="Q30">
        <v>0</v>
      </c>
      <c r="R30">
        <v>0</v>
      </c>
      <c r="S30">
        <v>0</v>
      </c>
      <c r="T30">
        <v>36</v>
      </c>
      <c r="U30">
        <v>0</v>
      </c>
      <c r="V30">
        <v>0</v>
      </c>
      <c r="W30">
        <v>0</v>
      </c>
      <c r="X30" s="11">
        <f t="shared" si="75"/>
        <v>51</v>
      </c>
      <c r="AM30" t="s">
        <v>12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f t="shared" si="76"/>
        <v>2</v>
      </c>
      <c r="BK30" t="s">
        <v>12</v>
      </c>
      <c r="BL30" s="13">
        <f t="shared" si="65"/>
        <v>10</v>
      </c>
      <c r="BM30" s="13">
        <f t="shared" si="66"/>
        <v>0.33333333333333331</v>
      </c>
      <c r="BN30" s="13">
        <f t="shared" si="67"/>
        <v>0</v>
      </c>
      <c r="BO30" s="13">
        <f t="shared" si="68"/>
        <v>0</v>
      </c>
      <c r="BP30" s="13">
        <f t="shared" si="69"/>
        <v>19.666666666666668</v>
      </c>
      <c r="BQ30" s="13">
        <f t="shared" si="70"/>
        <v>0</v>
      </c>
      <c r="BR30" s="13">
        <f t="shared" si="71"/>
        <v>0</v>
      </c>
      <c r="BS30" s="13">
        <f t="shared" si="72"/>
        <v>0</v>
      </c>
      <c r="BT30">
        <f t="shared" si="73"/>
        <v>30</v>
      </c>
      <c r="BU30">
        <f t="shared" si="77"/>
        <v>30</v>
      </c>
    </row>
    <row r="31" spans="2:73" ht="15.95">
      <c r="L31" s="11">
        <f>SUM(L28:L30)</f>
        <v>96</v>
      </c>
      <c r="X31" s="11">
        <f>SUM(X28:X30)</f>
        <v>112</v>
      </c>
      <c r="AV31">
        <f>SUM(AV28:AV30)</f>
        <v>18</v>
      </c>
      <c r="BT31" s="13">
        <f t="shared" ref="BT31" si="78">SUM(BT28,BT29,BT30)</f>
        <v>75.333333333333329</v>
      </c>
      <c r="BU31">
        <f t="shared" si="77"/>
        <v>75.333333333333329</v>
      </c>
    </row>
    <row r="32" spans="2:73" ht="15.95">
      <c r="B32" t="s">
        <v>20</v>
      </c>
      <c r="C32" s="5" t="s">
        <v>100</v>
      </c>
      <c r="D32" t="s">
        <v>25</v>
      </c>
      <c r="E32" s="5" t="s">
        <v>14</v>
      </c>
      <c r="F32" t="s">
        <v>4</v>
      </c>
      <c r="G32" s="5" t="s">
        <v>5</v>
      </c>
      <c r="H32" s="5" t="s">
        <v>6</v>
      </c>
      <c r="I32" s="5" t="s">
        <v>7</v>
      </c>
      <c r="J32" s="5" t="s">
        <v>8</v>
      </c>
      <c r="K32" t="s">
        <v>9</v>
      </c>
      <c r="N32" t="s">
        <v>20</v>
      </c>
      <c r="O32" s="5" t="s">
        <v>100</v>
      </c>
      <c r="P32" t="s">
        <v>25</v>
      </c>
      <c r="Q32" s="5" t="s">
        <v>14</v>
      </c>
      <c r="R32" t="s">
        <v>4</v>
      </c>
      <c r="S32" s="5" t="s">
        <v>5</v>
      </c>
      <c r="T32" s="5" t="s">
        <v>6</v>
      </c>
      <c r="U32" s="5" t="s">
        <v>7</v>
      </c>
      <c r="V32" s="5" t="s">
        <v>8</v>
      </c>
      <c r="W32" t="s">
        <v>9</v>
      </c>
      <c r="AL32" t="s">
        <v>13</v>
      </c>
      <c r="AM32" t="s">
        <v>100</v>
      </c>
      <c r="AN32" t="s">
        <v>25</v>
      </c>
      <c r="AO32" s="13" t="s">
        <v>14</v>
      </c>
      <c r="AP32" t="s">
        <v>4</v>
      </c>
      <c r="AQ32" s="13" t="s">
        <v>5</v>
      </c>
      <c r="AR32" s="13" t="s">
        <v>6</v>
      </c>
      <c r="AS32" s="13" t="s">
        <v>7</v>
      </c>
      <c r="AT32" s="13" t="s">
        <v>8</v>
      </c>
      <c r="AU32" t="s">
        <v>9</v>
      </c>
      <c r="BJ32" t="s">
        <v>26</v>
      </c>
      <c r="BK32" s="13" t="s">
        <v>100</v>
      </c>
      <c r="BL32" t="s">
        <v>25</v>
      </c>
      <c r="BM32" s="13" t="s">
        <v>14</v>
      </c>
      <c r="BN32" t="s">
        <v>4</v>
      </c>
      <c r="BO32" s="13" t="s">
        <v>5</v>
      </c>
      <c r="BP32" s="13" t="s">
        <v>6</v>
      </c>
      <c r="BQ32" s="13" t="s">
        <v>7</v>
      </c>
      <c r="BR32" s="13" t="s">
        <v>8</v>
      </c>
      <c r="BS32" t="s">
        <v>9</v>
      </c>
    </row>
    <row r="33" spans="2:73" ht="15.95">
      <c r="C33" s="5" t="s">
        <v>10</v>
      </c>
      <c r="D33" s="5">
        <v>78</v>
      </c>
      <c r="E33" s="5">
        <v>4</v>
      </c>
      <c r="F33" s="5">
        <v>4</v>
      </c>
      <c r="G33" s="5">
        <v>4</v>
      </c>
      <c r="H33" s="5">
        <v>2</v>
      </c>
      <c r="I33" s="5">
        <v>4</v>
      </c>
      <c r="J33" s="5">
        <v>0</v>
      </c>
      <c r="K33" s="5">
        <v>2</v>
      </c>
      <c r="L33" s="11">
        <f>SUM(D33:K33)</f>
        <v>98</v>
      </c>
      <c r="O33" s="5" t="s">
        <v>10</v>
      </c>
      <c r="P33" s="5">
        <v>77</v>
      </c>
      <c r="Q33" s="5">
        <v>6</v>
      </c>
      <c r="R33" s="5">
        <v>2</v>
      </c>
      <c r="S33" s="5">
        <v>1</v>
      </c>
      <c r="T33" s="5">
        <v>4</v>
      </c>
      <c r="U33" s="5">
        <v>4</v>
      </c>
      <c r="V33" s="5">
        <v>0</v>
      </c>
      <c r="W33" s="5">
        <v>0</v>
      </c>
      <c r="X33" s="11">
        <f>SUM(P33:W33)</f>
        <v>94</v>
      </c>
      <c r="AM33" t="s">
        <v>10</v>
      </c>
      <c r="AN33" s="13">
        <v>34</v>
      </c>
      <c r="AO33" s="13">
        <v>5</v>
      </c>
      <c r="AP33" s="13">
        <v>0</v>
      </c>
      <c r="AQ33" s="13">
        <v>3</v>
      </c>
      <c r="AR33" s="13">
        <v>2</v>
      </c>
      <c r="AS33" s="13">
        <v>0</v>
      </c>
      <c r="AT33" s="13">
        <v>1</v>
      </c>
      <c r="AU33" s="13">
        <v>0</v>
      </c>
      <c r="AV33">
        <f>SUM(AN33:AU33)</f>
        <v>45</v>
      </c>
      <c r="BK33" s="13" t="s">
        <v>10</v>
      </c>
      <c r="BL33" s="13">
        <f t="shared" ref="BL33:BL35" si="79">AVERAGE(D33,P33,AB33,AN33,AZ33)</f>
        <v>63</v>
      </c>
      <c r="BM33" s="13">
        <f t="shared" ref="BM33:BM35" si="80">AVERAGE(E33,Q33,AC33,AO33,BA33)</f>
        <v>5</v>
      </c>
      <c r="BN33" s="13">
        <f t="shared" ref="BN33:BN35" si="81">AVERAGE(F33,R33,AD33,AP33,BB33)</f>
        <v>2</v>
      </c>
      <c r="BO33" s="13">
        <f t="shared" ref="BO33:BO35" si="82">AVERAGE(G33,S33,AE33,AQ33,BC33)</f>
        <v>2.6666666666666665</v>
      </c>
      <c r="BP33" s="13">
        <f t="shared" ref="BP33:BP35" si="83">AVERAGE(H33,T33,AF33,AR33,BD33)</f>
        <v>2.6666666666666665</v>
      </c>
      <c r="BQ33" s="13">
        <f t="shared" ref="BQ33:BQ35" si="84">AVERAGE(I33,U33,AG33,AS33,BE33)</f>
        <v>2.6666666666666665</v>
      </c>
      <c r="BR33" s="13">
        <f t="shared" ref="BR33:BR35" si="85">AVERAGE(J33,V33,AH33,AT33,BF33)</f>
        <v>0.33333333333333331</v>
      </c>
      <c r="BS33" s="13">
        <f t="shared" ref="BS33:BS35" si="86">AVERAGE(K33,W33,AI33,AU33,BG33)</f>
        <v>0.66666666666666663</v>
      </c>
      <c r="BT33">
        <f t="shared" ref="BT33:BT35" si="87">SUM(BL33:BS33)</f>
        <v>79.000000000000014</v>
      </c>
      <c r="BU33">
        <f>AVERAGE(L33,X33,AJ33,AV33,BH33)</f>
        <v>79</v>
      </c>
    </row>
    <row r="34" spans="2:73" ht="15.95">
      <c r="C34" s="5" t="s">
        <v>11</v>
      </c>
      <c r="D34" s="5">
        <v>14</v>
      </c>
      <c r="E34" s="5">
        <v>0</v>
      </c>
      <c r="F34" s="5">
        <v>1</v>
      </c>
      <c r="G34" s="5">
        <v>0</v>
      </c>
      <c r="H34" s="5">
        <v>8</v>
      </c>
      <c r="I34" s="5">
        <v>0</v>
      </c>
      <c r="J34" s="5">
        <v>0</v>
      </c>
      <c r="K34" s="5">
        <v>0</v>
      </c>
      <c r="L34" s="11">
        <f t="shared" ref="L34:L35" si="88">SUM(D34:K34)</f>
        <v>23</v>
      </c>
      <c r="O34" s="5" t="s">
        <v>11</v>
      </c>
      <c r="P34" s="5">
        <v>17</v>
      </c>
      <c r="Q34" s="5">
        <v>1</v>
      </c>
      <c r="R34" s="5">
        <v>0</v>
      </c>
      <c r="S34" s="5">
        <v>0</v>
      </c>
      <c r="T34" s="5">
        <v>10</v>
      </c>
      <c r="U34" s="5">
        <v>0</v>
      </c>
      <c r="V34" s="5">
        <v>0</v>
      </c>
      <c r="W34" s="5">
        <v>0</v>
      </c>
      <c r="X34" s="11">
        <f t="shared" ref="X34:X35" si="89">SUM(P34:W34)</f>
        <v>28</v>
      </c>
      <c r="AM34" t="s">
        <v>11</v>
      </c>
      <c r="AN34" s="13">
        <v>4</v>
      </c>
      <c r="AO34" s="13">
        <v>0</v>
      </c>
      <c r="AP34" s="13">
        <v>0</v>
      </c>
      <c r="AQ34" s="13">
        <v>0</v>
      </c>
      <c r="AR34" s="13">
        <v>0</v>
      </c>
      <c r="AS34" s="13">
        <v>1</v>
      </c>
      <c r="AT34" s="13">
        <v>0</v>
      </c>
      <c r="AU34" s="13">
        <v>0</v>
      </c>
      <c r="AV34">
        <f t="shared" ref="AV34:AV35" si="90">SUM(AN34:AU34)</f>
        <v>5</v>
      </c>
      <c r="BK34" s="13" t="s">
        <v>11</v>
      </c>
      <c r="BL34" s="13">
        <f t="shared" si="79"/>
        <v>11.666666666666666</v>
      </c>
      <c r="BM34" s="13">
        <f t="shared" si="80"/>
        <v>0.33333333333333331</v>
      </c>
      <c r="BN34" s="13">
        <f t="shared" si="81"/>
        <v>0.33333333333333331</v>
      </c>
      <c r="BO34" s="13">
        <f t="shared" si="82"/>
        <v>0</v>
      </c>
      <c r="BP34" s="13">
        <f t="shared" si="83"/>
        <v>6</v>
      </c>
      <c r="BQ34" s="13">
        <f t="shared" si="84"/>
        <v>0.33333333333333331</v>
      </c>
      <c r="BR34" s="13">
        <f t="shared" si="85"/>
        <v>0</v>
      </c>
      <c r="BS34" s="13">
        <f t="shared" si="86"/>
        <v>0</v>
      </c>
      <c r="BT34">
        <f t="shared" si="87"/>
        <v>18.666666666666668</v>
      </c>
      <c r="BU34">
        <f t="shared" ref="BU34:BU36" si="91">AVERAGE(L34,X34,AJ34,AV34,BH34)</f>
        <v>18.666666666666668</v>
      </c>
    </row>
    <row r="35" spans="2:73" ht="15.95">
      <c r="C35" t="s">
        <v>12</v>
      </c>
      <c r="D35">
        <v>6</v>
      </c>
      <c r="E35">
        <v>0</v>
      </c>
      <c r="F35">
        <v>0</v>
      </c>
      <c r="G35">
        <v>0</v>
      </c>
      <c r="H35">
        <v>23</v>
      </c>
      <c r="I35">
        <v>0</v>
      </c>
      <c r="J35">
        <v>0</v>
      </c>
      <c r="K35">
        <v>0</v>
      </c>
      <c r="L35" s="11">
        <f t="shared" si="88"/>
        <v>29</v>
      </c>
      <c r="O35" t="s">
        <v>12</v>
      </c>
      <c r="P35">
        <v>6</v>
      </c>
      <c r="Q35">
        <v>0</v>
      </c>
      <c r="R35">
        <v>0</v>
      </c>
      <c r="S35">
        <v>0</v>
      </c>
      <c r="T35">
        <v>33</v>
      </c>
      <c r="U35">
        <v>0</v>
      </c>
      <c r="V35">
        <v>0</v>
      </c>
      <c r="W35">
        <v>0</v>
      </c>
      <c r="X35" s="11">
        <f t="shared" si="89"/>
        <v>39</v>
      </c>
      <c r="AM35" t="s">
        <v>12</v>
      </c>
      <c r="AN35">
        <v>2</v>
      </c>
      <c r="AO35">
        <v>0</v>
      </c>
      <c r="AP35">
        <v>0</v>
      </c>
      <c r="AQ35">
        <v>0</v>
      </c>
      <c r="AR35">
        <v>6</v>
      </c>
      <c r="AS35">
        <v>0</v>
      </c>
      <c r="AT35">
        <v>0</v>
      </c>
      <c r="AU35">
        <v>0</v>
      </c>
      <c r="AV35">
        <f t="shared" si="90"/>
        <v>8</v>
      </c>
      <c r="BK35" t="s">
        <v>12</v>
      </c>
      <c r="BL35" s="13">
        <f t="shared" si="79"/>
        <v>4.666666666666667</v>
      </c>
      <c r="BM35" s="13">
        <f t="shared" si="80"/>
        <v>0</v>
      </c>
      <c r="BN35" s="13">
        <f t="shared" si="81"/>
        <v>0</v>
      </c>
      <c r="BO35" s="13">
        <f t="shared" si="82"/>
        <v>0</v>
      </c>
      <c r="BP35" s="13">
        <f t="shared" si="83"/>
        <v>20.666666666666668</v>
      </c>
      <c r="BQ35" s="13">
        <f t="shared" si="84"/>
        <v>0</v>
      </c>
      <c r="BR35" s="13">
        <f t="shared" si="85"/>
        <v>0</v>
      </c>
      <c r="BS35" s="13">
        <f t="shared" si="86"/>
        <v>0</v>
      </c>
      <c r="BT35">
        <f t="shared" si="87"/>
        <v>25.333333333333336</v>
      </c>
      <c r="BU35">
        <f t="shared" si="91"/>
        <v>25.333333333333332</v>
      </c>
    </row>
    <row r="36" spans="2:73" ht="15.95">
      <c r="L36" s="11">
        <f>SUM(L33:L35)</f>
        <v>150</v>
      </c>
      <c r="X36" s="11">
        <f>SUM(X33:X35)</f>
        <v>161</v>
      </c>
      <c r="AV36">
        <f>SUM(AV33:AV35)</f>
        <v>58</v>
      </c>
      <c r="BT36" s="13">
        <f t="shared" ref="BT36" si="92">SUM(BT33,BT34,BT35)</f>
        <v>123.00000000000003</v>
      </c>
      <c r="BU36">
        <f t="shared" si="91"/>
        <v>123</v>
      </c>
    </row>
    <row r="37" spans="2:73" ht="15.95">
      <c r="B37" t="s">
        <v>20</v>
      </c>
      <c r="C37" s="5" t="s">
        <v>101</v>
      </c>
      <c r="D37" t="s">
        <v>25</v>
      </c>
      <c r="E37" s="5" t="s">
        <v>14</v>
      </c>
      <c r="F37" t="s">
        <v>4</v>
      </c>
      <c r="G37" s="5" t="s">
        <v>5</v>
      </c>
      <c r="H37" s="5" t="s">
        <v>6</v>
      </c>
      <c r="I37" s="5" t="s">
        <v>7</v>
      </c>
      <c r="J37" s="5" t="s">
        <v>8</v>
      </c>
      <c r="K37" t="s">
        <v>9</v>
      </c>
      <c r="AL37" t="s">
        <v>13</v>
      </c>
      <c r="AM37" t="s">
        <v>101</v>
      </c>
      <c r="AN37" t="s">
        <v>25</v>
      </c>
      <c r="AO37" s="13" t="s">
        <v>14</v>
      </c>
      <c r="AP37" t="s">
        <v>4</v>
      </c>
      <c r="AQ37" s="13" t="s">
        <v>5</v>
      </c>
      <c r="AR37" s="13" t="s">
        <v>6</v>
      </c>
      <c r="AS37" s="13" t="s">
        <v>7</v>
      </c>
      <c r="AT37" s="13" t="s">
        <v>8</v>
      </c>
      <c r="AU37" t="s">
        <v>9</v>
      </c>
      <c r="BJ37" t="s">
        <v>26</v>
      </c>
      <c r="BK37" s="13" t="s">
        <v>101</v>
      </c>
      <c r="BL37" t="s">
        <v>25</v>
      </c>
      <c r="BM37" s="13" t="s">
        <v>14</v>
      </c>
      <c r="BN37" t="s">
        <v>4</v>
      </c>
      <c r="BO37" s="13" t="s">
        <v>5</v>
      </c>
      <c r="BP37" s="13" t="s">
        <v>6</v>
      </c>
      <c r="BQ37" s="13" t="s">
        <v>7</v>
      </c>
      <c r="BR37" s="13" t="s">
        <v>8</v>
      </c>
      <c r="BS37" t="s">
        <v>9</v>
      </c>
    </row>
    <row r="38" spans="2:73" ht="15.95">
      <c r="C38" s="5" t="s">
        <v>10</v>
      </c>
      <c r="D38" s="5">
        <v>117</v>
      </c>
      <c r="E38" s="5">
        <v>13</v>
      </c>
      <c r="F38" s="5">
        <v>1</v>
      </c>
      <c r="G38" s="5">
        <v>11</v>
      </c>
      <c r="H38" s="5">
        <v>6</v>
      </c>
      <c r="I38" s="5">
        <v>2</v>
      </c>
      <c r="J38" s="5">
        <v>4</v>
      </c>
      <c r="K38" s="5">
        <v>4</v>
      </c>
      <c r="L38" s="11">
        <f>SUM(D38:K38)</f>
        <v>158</v>
      </c>
      <c r="AM38" t="s">
        <v>10</v>
      </c>
      <c r="AN38" s="13">
        <v>52</v>
      </c>
      <c r="AO38" s="13">
        <v>9</v>
      </c>
      <c r="AP38" s="13">
        <v>2</v>
      </c>
      <c r="AQ38" s="13">
        <v>10</v>
      </c>
      <c r="AR38" s="13">
        <v>0</v>
      </c>
      <c r="AS38" s="13">
        <v>0</v>
      </c>
      <c r="AT38" s="13">
        <v>4</v>
      </c>
      <c r="AU38" s="13">
        <v>0</v>
      </c>
      <c r="AV38">
        <f>SUM(AN38:AU38)</f>
        <v>77</v>
      </c>
      <c r="BK38" s="13" t="s">
        <v>10</v>
      </c>
      <c r="BL38" s="13">
        <f t="shared" ref="BL38:BL40" si="93">AVERAGE(D38,P38,AB38,AN38,AZ38)</f>
        <v>84.5</v>
      </c>
      <c r="BM38" s="13">
        <f t="shared" ref="BM38:BM40" si="94">AVERAGE(E38,Q38,AC38,AO38,BA38)</f>
        <v>11</v>
      </c>
      <c r="BN38" s="13">
        <f t="shared" ref="BN38:BN40" si="95">AVERAGE(F38,R38,AD38,AP38,BB38)</f>
        <v>1.5</v>
      </c>
      <c r="BO38" s="13">
        <f t="shared" ref="BO38:BO40" si="96">AVERAGE(G38,S38,AE38,AQ38,BC38)</f>
        <v>10.5</v>
      </c>
      <c r="BP38" s="13">
        <f t="shared" ref="BP38:BP40" si="97">AVERAGE(H38,T38,AF38,AR38,BD38)</f>
        <v>3</v>
      </c>
      <c r="BQ38" s="13">
        <f t="shared" ref="BQ38:BQ40" si="98">AVERAGE(I38,U38,AG38,AS38,BE38)</f>
        <v>1</v>
      </c>
      <c r="BR38" s="13">
        <f t="shared" ref="BR38:BR40" si="99">AVERAGE(J38,V38,AH38,AT38,BF38)</f>
        <v>4</v>
      </c>
      <c r="BS38" s="13">
        <f t="shared" ref="BS38:BS40" si="100">AVERAGE(K38,W38,AI38,AU38,BG38)</f>
        <v>2</v>
      </c>
      <c r="BT38">
        <f t="shared" ref="BT38:BT40" si="101">SUM(BL38:BS38)</f>
        <v>117.5</v>
      </c>
      <c r="BU38">
        <f>AVERAGE(L38,X38,AJ38,AV38,BH38)</f>
        <v>117.5</v>
      </c>
    </row>
    <row r="39" spans="2:73" ht="15.95">
      <c r="C39" s="5" t="s">
        <v>11</v>
      </c>
      <c r="D39" s="5">
        <v>15</v>
      </c>
      <c r="E39" s="5">
        <v>4</v>
      </c>
      <c r="F39" s="5">
        <v>0</v>
      </c>
      <c r="G39" s="5">
        <v>0</v>
      </c>
      <c r="H39" s="5">
        <v>4</v>
      </c>
      <c r="I39" s="5">
        <v>1</v>
      </c>
      <c r="J39" s="5">
        <v>1</v>
      </c>
      <c r="K39" s="5">
        <v>0</v>
      </c>
      <c r="L39" s="11">
        <f t="shared" ref="L39:L40" si="102">SUM(D39:K39)</f>
        <v>25</v>
      </c>
      <c r="AM39" t="s">
        <v>11</v>
      </c>
      <c r="AN39" s="13">
        <v>1</v>
      </c>
      <c r="AO39" s="13">
        <v>0</v>
      </c>
      <c r="AP39" s="13">
        <v>0</v>
      </c>
      <c r="AQ39" s="13">
        <v>0</v>
      </c>
      <c r="AR39" s="13">
        <v>1</v>
      </c>
      <c r="AS39" s="13">
        <v>0</v>
      </c>
      <c r="AT39" s="13">
        <v>0</v>
      </c>
      <c r="AU39" s="13">
        <v>0</v>
      </c>
      <c r="AV39">
        <f t="shared" ref="AV39:AV40" si="103">SUM(AN39:AU39)</f>
        <v>2</v>
      </c>
      <c r="BK39" s="13" t="s">
        <v>11</v>
      </c>
      <c r="BL39" s="13">
        <f t="shared" si="93"/>
        <v>8</v>
      </c>
      <c r="BM39" s="13">
        <f t="shared" si="94"/>
        <v>2</v>
      </c>
      <c r="BN39" s="13">
        <f t="shared" si="95"/>
        <v>0</v>
      </c>
      <c r="BO39" s="13">
        <f t="shared" si="96"/>
        <v>0</v>
      </c>
      <c r="BP39" s="13">
        <f t="shared" si="97"/>
        <v>2.5</v>
      </c>
      <c r="BQ39" s="13">
        <f t="shared" si="98"/>
        <v>0.5</v>
      </c>
      <c r="BR39" s="13">
        <f t="shared" si="99"/>
        <v>0.5</v>
      </c>
      <c r="BS39" s="13">
        <f t="shared" si="100"/>
        <v>0</v>
      </c>
      <c r="BT39">
        <f t="shared" si="101"/>
        <v>13.5</v>
      </c>
      <c r="BU39">
        <f t="shared" ref="BU39:BU41" si="104">AVERAGE(L39,X39,AJ39,AV39,BH39)</f>
        <v>13.5</v>
      </c>
    </row>
    <row r="40" spans="2:73" ht="15.95">
      <c r="C40" t="s">
        <v>12</v>
      </c>
      <c r="D40">
        <v>4</v>
      </c>
      <c r="E40">
        <v>0</v>
      </c>
      <c r="F40">
        <v>0</v>
      </c>
      <c r="G40">
        <v>0</v>
      </c>
      <c r="H40">
        <v>5</v>
      </c>
      <c r="I40">
        <v>0</v>
      </c>
      <c r="J40">
        <v>0</v>
      </c>
      <c r="K40">
        <v>0</v>
      </c>
      <c r="L40" s="11">
        <f t="shared" si="102"/>
        <v>9</v>
      </c>
      <c r="AM40" t="s">
        <v>12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f t="shared" si="103"/>
        <v>1</v>
      </c>
      <c r="BK40" t="s">
        <v>12</v>
      </c>
      <c r="BL40" s="13">
        <f t="shared" si="93"/>
        <v>2.5</v>
      </c>
      <c r="BM40" s="13">
        <f t="shared" si="94"/>
        <v>0</v>
      </c>
      <c r="BN40" s="13">
        <f t="shared" si="95"/>
        <v>0</v>
      </c>
      <c r="BO40" s="13">
        <f t="shared" si="96"/>
        <v>0</v>
      </c>
      <c r="BP40" s="13">
        <f t="shared" si="97"/>
        <v>2.5</v>
      </c>
      <c r="BQ40" s="13">
        <f t="shared" si="98"/>
        <v>0</v>
      </c>
      <c r="BR40" s="13">
        <f t="shared" si="99"/>
        <v>0</v>
      </c>
      <c r="BS40" s="13">
        <f t="shared" si="100"/>
        <v>0</v>
      </c>
      <c r="BT40">
        <f t="shared" si="101"/>
        <v>5</v>
      </c>
      <c r="BU40">
        <f t="shared" si="104"/>
        <v>5</v>
      </c>
    </row>
    <row r="41" spans="2:73" ht="15.95">
      <c r="L41" s="11">
        <f>SUM(L38:L40)</f>
        <v>192</v>
      </c>
      <c r="AV41">
        <f>SUM(AV38:AV40)</f>
        <v>80</v>
      </c>
      <c r="BT41" s="13">
        <f t="shared" ref="BT41" si="105">SUM(BT38,BT39,BT40)</f>
        <v>136</v>
      </c>
      <c r="BU41">
        <f t="shared" si="104"/>
        <v>136</v>
      </c>
    </row>
    <row r="42" spans="2:73" ht="15.95">
      <c r="B42" t="s">
        <v>20</v>
      </c>
      <c r="C42" s="5" t="s">
        <v>102</v>
      </c>
      <c r="D42" t="s">
        <v>25</v>
      </c>
      <c r="E42" s="5" t="s">
        <v>14</v>
      </c>
      <c r="F42" t="s">
        <v>4</v>
      </c>
      <c r="G42" s="5" t="s">
        <v>5</v>
      </c>
      <c r="H42" s="5" t="s">
        <v>6</v>
      </c>
      <c r="I42" s="5" t="s">
        <v>7</v>
      </c>
      <c r="J42" s="5" t="s">
        <v>8</v>
      </c>
      <c r="K42" t="s">
        <v>9</v>
      </c>
      <c r="AL42" t="s">
        <v>13</v>
      </c>
      <c r="AM42" t="s">
        <v>102</v>
      </c>
      <c r="AN42" t="s">
        <v>25</v>
      </c>
      <c r="AO42" s="13" t="s">
        <v>14</v>
      </c>
      <c r="AP42" t="s">
        <v>4</v>
      </c>
      <c r="AQ42" s="13" t="s">
        <v>5</v>
      </c>
      <c r="AR42" s="13" t="s">
        <v>6</v>
      </c>
      <c r="AS42" s="13" t="s">
        <v>7</v>
      </c>
      <c r="AT42" s="13" t="s">
        <v>8</v>
      </c>
      <c r="AU42" t="s">
        <v>9</v>
      </c>
      <c r="BJ42" t="s">
        <v>26</v>
      </c>
      <c r="BK42" s="13" t="s">
        <v>102</v>
      </c>
      <c r="BL42" t="s">
        <v>25</v>
      </c>
      <c r="BM42" s="13" t="s">
        <v>14</v>
      </c>
      <c r="BN42" t="s">
        <v>4</v>
      </c>
      <c r="BO42" s="13" t="s">
        <v>5</v>
      </c>
      <c r="BP42" s="13" t="s">
        <v>6</v>
      </c>
      <c r="BQ42" s="13" t="s">
        <v>7</v>
      </c>
      <c r="BR42" s="13" t="s">
        <v>8</v>
      </c>
      <c r="BS42" t="s">
        <v>9</v>
      </c>
    </row>
    <row r="43" spans="2:73" ht="15.95">
      <c r="C43" s="5" t="s">
        <v>10</v>
      </c>
      <c r="D43" s="5">
        <v>110</v>
      </c>
      <c r="E43" s="5">
        <v>14</v>
      </c>
      <c r="F43" s="5">
        <v>0</v>
      </c>
      <c r="G43" s="5">
        <v>12</v>
      </c>
      <c r="H43" s="5">
        <v>2</v>
      </c>
      <c r="I43" s="5">
        <v>1</v>
      </c>
      <c r="J43" s="5">
        <v>0</v>
      </c>
      <c r="K43" s="5">
        <v>4</v>
      </c>
      <c r="L43" s="11">
        <f>SUM(D43:K43)</f>
        <v>143</v>
      </c>
      <c r="AM43" t="s">
        <v>10</v>
      </c>
      <c r="AN43" s="13">
        <v>44</v>
      </c>
      <c r="AO43" s="13">
        <v>6</v>
      </c>
      <c r="AP43" s="13">
        <v>0</v>
      </c>
      <c r="AQ43" s="13">
        <v>5</v>
      </c>
      <c r="AR43" s="13">
        <v>3</v>
      </c>
      <c r="AS43" s="13">
        <v>0</v>
      </c>
      <c r="AT43" s="13">
        <v>2</v>
      </c>
      <c r="AU43" s="13">
        <v>0</v>
      </c>
      <c r="AV43">
        <f>SUM(AN43:AU43)</f>
        <v>60</v>
      </c>
      <c r="BK43" s="13" t="s">
        <v>10</v>
      </c>
      <c r="BL43" s="13">
        <f t="shared" ref="BL43:BL45" si="106">AVERAGE(D43,P43,AB43,AN43,AZ43)</f>
        <v>77</v>
      </c>
      <c r="BM43" s="13">
        <f t="shared" ref="BM43:BM45" si="107">AVERAGE(E43,Q43,AC43,AO43,BA43)</f>
        <v>10</v>
      </c>
      <c r="BN43" s="13">
        <f t="shared" ref="BN43:BN45" si="108">AVERAGE(F43,R43,AD43,AP43,BB43)</f>
        <v>0</v>
      </c>
      <c r="BO43" s="13">
        <f t="shared" ref="BO43:BO45" si="109">AVERAGE(G43,S43,AE43,AQ43,BC43)</f>
        <v>8.5</v>
      </c>
      <c r="BP43" s="13">
        <f t="shared" ref="BP43:BP45" si="110">AVERAGE(H43,T43,AF43,AR43,BD43)</f>
        <v>2.5</v>
      </c>
      <c r="BQ43" s="13">
        <f t="shared" ref="BQ43:BQ45" si="111">AVERAGE(I43,U43,AG43,AS43,BE43)</f>
        <v>0.5</v>
      </c>
      <c r="BR43" s="13">
        <f t="shared" ref="BR43:BR45" si="112">AVERAGE(J43,V43,AH43,AT43,BF43)</f>
        <v>1</v>
      </c>
      <c r="BS43" s="13">
        <f t="shared" ref="BS43:BS45" si="113">AVERAGE(K43,W43,AI43,AU43,BG43)</f>
        <v>2</v>
      </c>
      <c r="BT43">
        <f t="shared" ref="BT43:BT45" si="114">SUM(BL43:BS43)</f>
        <v>101.5</v>
      </c>
      <c r="BU43">
        <f>AVERAGE(L43,X43,AJ43,AV43,BH43)</f>
        <v>101.5</v>
      </c>
    </row>
    <row r="44" spans="2:73" ht="15.95">
      <c r="C44" s="5" t="s">
        <v>11</v>
      </c>
      <c r="D44" s="5">
        <v>15</v>
      </c>
      <c r="E44" s="5">
        <v>3</v>
      </c>
      <c r="F44" s="5">
        <v>0</v>
      </c>
      <c r="G44" s="5">
        <v>0</v>
      </c>
      <c r="H44" s="5">
        <v>1</v>
      </c>
      <c r="I44" s="5">
        <v>0</v>
      </c>
      <c r="J44" s="5">
        <v>1</v>
      </c>
      <c r="K44" s="5">
        <v>0</v>
      </c>
      <c r="L44" s="11">
        <f t="shared" ref="L44:L45" si="115">SUM(D44:K44)</f>
        <v>20</v>
      </c>
      <c r="AM44" t="s">
        <v>11</v>
      </c>
      <c r="AN44" s="13">
        <v>1</v>
      </c>
      <c r="AO44" s="13">
        <v>1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>
        <f t="shared" ref="AV44:AV45" si="116">SUM(AN44:AU44)</f>
        <v>2</v>
      </c>
      <c r="BK44" s="13" t="s">
        <v>11</v>
      </c>
      <c r="BL44" s="13">
        <f t="shared" si="106"/>
        <v>8</v>
      </c>
      <c r="BM44" s="13">
        <f t="shared" si="107"/>
        <v>2</v>
      </c>
      <c r="BN44" s="13">
        <f t="shared" si="108"/>
        <v>0</v>
      </c>
      <c r="BO44" s="13">
        <f t="shared" si="109"/>
        <v>0</v>
      </c>
      <c r="BP44" s="13">
        <f t="shared" si="110"/>
        <v>0.5</v>
      </c>
      <c r="BQ44" s="13">
        <f t="shared" si="111"/>
        <v>0</v>
      </c>
      <c r="BR44" s="13">
        <f t="shared" si="112"/>
        <v>0.5</v>
      </c>
      <c r="BS44" s="13">
        <f t="shared" si="113"/>
        <v>0</v>
      </c>
      <c r="BT44">
        <f t="shared" si="114"/>
        <v>11</v>
      </c>
      <c r="BU44">
        <f t="shared" ref="BU44:BU46" si="117">AVERAGE(L44,X44,AJ44,AV44,BH44)</f>
        <v>11</v>
      </c>
    </row>
    <row r="45" spans="2:73" ht="15.95">
      <c r="C45" t="s">
        <v>12</v>
      </c>
      <c r="D45">
        <v>2</v>
      </c>
      <c r="E45">
        <v>0</v>
      </c>
      <c r="F45">
        <v>0</v>
      </c>
      <c r="G45">
        <v>0</v>
      </c>
      <c r="H45">
        <v>19</v>
      </c>
      <c r="I45">
        <v>0</v>
      </c>
      <c r="J45">
        <v>0</v>
      </c>
      <c r="K45">
        <v>0</v>
      </c>
      <c r="L45" s="11">
        <f t="shared" si="115"/>
        <v>21</v>
      </c>
      <c r="AM45" t="s">
        <v>12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f t="shared" si="116"/>
        <v>1</v>
      </c>
      <c r="BK45" t="s">
        <v>12</v>
      </c>
      <c r="BL45" s="13">
        <f t="shared" si="106"/>
        <v>1</v>
      </c>
      <c r="BM45" s="13">
        <f t="shared" si="107"/>
        <v>0</v>
      </c>
      <c r="BN45" s="13">
        <f t="shared" si="108"/>
        <v>0</v>
      </c>
      <c r="BO45" s="13">
        <f t="shared" si="109"/>
        <v>0</v>
      </c>
      <c r="BP45" s="13">
        <f t="shared" si="110"/>
        <v>10</v>
      </c>
      <c r="BQ45" s="13">
        <f t="shared" si="111"/>
        <v>0</v>
      </c>
      <c r="BR45" s="13">
        <f t="shared" si="112"/>
        <v>0</v>
      </c>
      <c r="BS45" s="13">
        <f t="shared" si="113"/>
        <v>0</v>
      </c>
      <c r="BT45">
        <f t="shared" si="114"/>
        <v>11</v>
      </c>
      <c r="BU45">
        <f t="shared" si="117"/>
        <v>11</v>
      </c>
    </row>
    <row r="46" spans="2:73" ht="15.95">
      <c r="L46" s="11">
        <f>SUM(L43:L45)</f>
        <v>184</v>
      </c>
      <c r="AV46">
        <f>SUM(AV43:AV45)</f>
        <v>63</v>
      </c>
      <c r="BT46" s="13">
        <f t="shared" ref="BT46" si="118">SUM(BT43,BT44,BT45)</f>
        <v>123.5</v>
      </c>
      <c r="BU46">
        <f t="shared" si="117"/>
        <v>123.5</v>
      </c>
    </row>
    <row r="47" spans="2:73" ht="15.95">
      <c r="B47" t="s">
        <v>20</v>
      </c>
      <c r="C47" s="5" t="s">
        <v>103</v>
      </c>
      <c r="D47" t="s">
        <v>25</v>
      </c>
      <c r="E47" s="5" t="s">
        <v>14</v>
      </c>
      <c r="F47" t="s">
        <v>4</v>
      </c>
      <c r="G47" s="5" t="s">
        <v>5</v>
      </c>
      <c r="H47" s="5" t="s">
        <v>6</v>
      </c>
      <c r="I47" s="5" t="s">
        <v>7</v>
      </c>
      <c r="J47" s="5" t="s">
        <v>8</v>
      </c>
      <c r="K47" t="s">
        <v>9</v>
      </c>
      <c r="AL47" t="s">
        <v>13</v>
      </c>
      <c r="AM47" t="s">
        <v>103</v>
      </c>
      <c r="AN47" t="s">
        <v>25</v>
      </c>
      <c r="AO47" s="13" t="s">
        <v>14</v>
      </c>
      <c r="AP47" t="s">
        <v>4</v>
      </c>
      <c r="AQ47" s="13" t="s">
        <v>5</v>
      </c>
      <c r="AR47" s="13" t="s">
        <v>6</v>
      </c>
      <c r="AS47" s="13" t="s">
        <v>7</v>
      </c>
      <c r="AT47" s="13" t="s">
        <v>8</v>
      </c>
      <c r="AU47" t="s">
        <v>9</v>
      </c>
      <c r="BJ47" t="s">
        <v>26</v>
      </c>
      <c r="BK47" s="13" t="s">
        <v>103</v>
      </c>
      <c r="BL47" t="s">
        <v>25</v>
      </c>
      <c r="BM47" s="13" t="s">
        <v>14</v>
      </c>
      <c r="BN47" t="s">
        <v>4</v>
      </c>
      <c r="BO47" s="13" t="s">
        <v>5</v>
      </c>
      <c r="BP47" s="13" t="s">
        <v>6</v>
      </c>
      <c r="BQ47" s="13" t="s">
        <v>7</v>
      </c>
      <c r="BR47" s="13" t="s">
        <v>8</v>
      </c>
      <c r="BS47" t="s">
        <v>9</v>
      </c>
    </row>
    <row r="48" spans="2:73" ht="15.95">
      <c r="C48" s="5" t="s">
        <v>10</v>
      </c>
      <c r="D48" s="5">
        <v>80</v>
      </c>
      <c r="E48" s="5">
        <v>10</v>
      </c>
      <c r="F48" s="5">
        <v>6</v>
      </c>
      <c r="G48" s="5">
        <v>10</v>
      </c>
      <c r="H48" s="5">
        <v>2</v>
      </c>
      <c r="I48" s="5">
        <v>1</v>
      </c>
      <c r="J48" s="5">
        <v>1</v>
      </c>
      <c r="K48" s="5">
        <v>0</v>
      </c>
      <c r="L48" s="11">
        <f>SUM(D48:K48)</f>
        <v>110</v>
      </c>
      <c r="AM48" t="s">
        <v>10</v>
      </c>
      <c r="AN48" s="13">
        <v>16</v>
      </c>
      <c r="AO48" s="13">
        <v>7</v>
      </c>
      <c r="AP48" s="13">
        <v>1</v>
      </c>
      <c r="AQ48" s="13">
        <v>2</v>
      </c>
      <c r="AR48" s="13">
        <v>0</v>
      </c>
      <c r="AS48" s="13">
        <v>0</v>
      </c>
      <c r="AT48" s="13">
        <v>3</v>
      </c>
      <c r="AU48" s="13">
        <v>0</v>
      </c>
      <c r="AV48">
        <f>SUM(AN48:AU48)</f>
        <v>29</v>
      </c>
      <c r="BK48" s="13" t="s">
        <v>10</v>
      </c>
      <c r="BL48" s="13">
        <f t="shared" ref="BL48:BL50" si="119">AVERAGE(D48,P48,AB48,AN48,AZ48)</f>
        <v>48</v>
      </c>
      <c r="BM48" s="13">
        <f t="shared" ref="BM48:BM50" si="120">AVERAGE(E48,Q48,AC48,AO48,BA48)</f>
        <v>8.5</v>
      </c>
      <c r="BN48" s="13">
        <f t="shared" ref="BN48:BN50" si="121">AVERAGE(F48,R48,AD48,AP48,BB48)</f>
        <v>3.5</v>
      </c>
      <c r="BO48" s="13">
        <f t="shared" ref="BO48:BO50" si="122">AVERAGE(G48,S48,AE48,AQ48,BC48)</f>
        <v>6</v>
      </c>
      <c r="BP48" s="13">
        <f t="shared" ref="BP48:BP50" si="123">AVERAGE(H48,T48,AF48,AR48,BD48)</f>
        <v>1</v>
      </c>
      <c r="BQ48" s="13">
        <f t="shared" ref="BQ48:BQ50" si="124">AVERAGE(I48,U48,AG48,AS48,BE48)</f>
        <v>0.5</v>
      </c>
      <c r="BR48" s="13">
        <f t="shared" ref="BR48:BR50" si="125">AVERAGE(J48,V48,AH48,AT48,BF48)</f>
        <v>2</v>
      </c>
      <c r="BS48" s="13">
        <f t="shared" ref="BS48:BS50" si="126">AVERAGE(K48,W48,AI48,AU48,BG48)</f>
        <v>0</v>
      </c>
      <c r="BT48">
        <f>SUM(BL48:BS48)</f>
        <v>69.5</v>
      </c>
      <c r="BU48">
        <f>AVERAGE(L48,X48,AJ48,AV48,BH48)</f>
        <v>69.5</v>
      </c>
    </row>
    <row r="49" spans="2:73" ht="15.95">
      <c r="C49" s="5" t="s">
        <v>11</v>
      </c>
      <c r="D49" s="5">
        <v>12</v>
      </c>
      <c r="E49" s="5">
        <v>3</v>
      </c>
      <c r="F49" s="5">
        <v>0</v>
      </c>
      <c r="G49" s="5">
        <v>0</v>
      </c>
      <c r="H49" s="5">
        <v>7</v>
      </c>
      <c r="I49" s="5">
        <v>1</v>
      </c>
      <c r="J49" s="5">
        <v>0</v>
      </c>
      <c r="K49" s="5">
        <v>0</v>
      </c>
      <c r="L49" s="11">
        <f t="shared" ref="L49:L50" si="127">SUM(D49:K49)</f>
        <v>23</v>
      </c>
      <c r="AM49" t="s">
        <v>11</v>
      </c>
      <c r="AN49" s="13">
        <v>1</v>
      </c>
      <c r="AO49" s="13">
        <v>0</v>
      </c>
      <c r="AP49" s="13">
        <v>0</v>
      </c>
      <c r="AQ49" s="13">
        <v>0</v>
      </c>
      <c r="AR49" s="13">
        <v>0</v>
      </c>
      <c r="AS49" s="13">
        <v>1</v>
      </c>
      <c r="AT49" s="13">
        <v>0</v>
      </c>
      <c r="AU49" s="13">
        <v>0</v>
      </c>
      <c r="AV49">
        <f t="shared" ref="AV49:AV50" si="128">SUM(AN49:AU49)</f>
        <v>2</v>
      </c>
      <c r="BK49" s="13" t="s">
        <v>11</v>
      </c>
      <c r="BL49" s="13">
        <f t="shared" si="119"/>
        <v>6.5</v>
      </c>
      <c r="BM49" s="13">
        <f t="shared" si="120"/>
        <v>1.5</v>
      </c>
      <c r="BN49" s="13">
        <f t="shared" si="121"/>
        <v>0</v>
      </c>
      <c r="BO49" s="13">
        <f t="shared" si="122"/>
        <v>0</v>
      </c>
      <c r="BP49" s="13">
        <f t="shared" si="123"/>
        <v>3.5</v>
      </c>
      <c r="BQ49" s="13">
        <f t="shared" si="124"/>
        <v>1</v>
      </c>
      <c r="BR49" s="13">
        <f t="shared" si="125"/>
        <v>0</v>
      </c>
      <c r="BS49" s="13">
        <f t="shared" si="126"/>
        <v>0</v>
      </c>
      <c r="BT49">
        <f t="shared" ref="BT49:BT50" si="129">SUM(BL49:BS49)</f>
        <v>12.5</v>
      </c>
      <c r="BU49">
        <f t="shared" ref="BU49:BU51" si="130">AVERAGE(L49,X49,AJ49,AV49,BH49)</f>
        <v>12.5</v>
      </c>
    </row>
    <row r="50" spans="2:73" ht="15.95">
      <c r="C50" t="s">
        <v>12</v>
      </c>
      <c r="D50">
        <v>6</v>
      </c>
      <c r="E50">
        <v>0</v>
      </c>
      <c r="F50">
        <v>0</v>
      </c>
      <c r="G50">
        <v>0</v>
      </c>
      <c r="H50">
        <v>11</v>
      </c>
      <c r="I50">
        <v>0</v>
      </c>
      <c r="J50">
        <v>0</v>
      </c>
      <c r="K50">
        <v>0</v>
      </c>
      <c r="L50" s="11">
        <f t="shared" si="127"/>
        <v>17</v>
      </c>
      <c r="AM50" t="s">
        <v>12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f t="shared" si="128"/>
        <v>0</v>
      </c>
      <c r="BK50" t="s">
        <v>12</v>
      </c>
      <c r="BL50" s="13">
        <f t="shared" si="119"/>
        <v>3</v>
      </c>
      <c r="BM50" s="13">
        <f t="shared" si="120"/>
        <v>0</v>
      </c>
      <c r="BN50" s="13">
        <f t="shared" si="121"/>
        <v>0</v>
      </c>
      <c r="BO50" s="13">
        <f t="shared" si="122"/>
        <v>0</v>
      </c>
      <c r="BP50" s="13">
        <f t="shared" si="123"/>
        <v>5.5</v>
      </c>
      <c r="BQ50" s="13">
        <f t="shared" si="124"/>
        <v>0</v>
      </c>
      <c r="BR50" s="13">
        <f t="shared" si="125"/>
        <v>0</v>
      </c>
      <c r="BS50" s="13">
        <f t="shared" si="126"/>
        <v>0</v>
      </c>
      <c r="BT50">
        <f t="shared" si="129"/>
        <v>8.5</v>
      </c>
      <c r="BU50">
        <f t="shared" si="130"/>
        <v>8.5</v>
      </c>
    </row>
    <row r="51" spans="2:73" ht="15.95">
      <c r="L51" s="11">
        <f>SUM(L48:L50)</f>
        <v>150</v>
      </c>
      <c r="AV51">
        <f>SUM(AV48:AV50)</f>
        <v>31</v>
      </c>
      <c r="BT51" s="13">
        <f t="shared" ref="BT51" si="131">SUM(BT48,BT49,BT50)</f>
        <v>90.5</v>
      </c>
      <c r="BU51">
        <f t="shared" si="130"/>
        <v>90.5</v>
      </c>
    </row>
    <row r="52" spans="2:73" ht="15.95">
      <c r="B52" t="s">
        <v>20</v>
      </c>
      <c r="C52" s="5" t="s">
        <v>104</v>
      </c>
      <c r="D52" t="s">
        <v>25</v>
      </c>
      <c r="E52" s="5" t="s">
        <v>14</v>
      </c>
      <c r="F52" t="s">
        <v>4</v>
      </c>
      <c r="G52" s="5" t="s">
        <v>5</v>
      </c>
      <c r="H52" s="5" t="s">
        <v>6</v>
      </c>
      <c r="I52" s="5" t="s">
        <v>7</v>
      </c>
      <c r="J52" s="5" t="s">
        <v>8</v>
      </c>
      <c r="K52" t="s">
        <v>9</v>
      </c>
      <c r="AL52" t="s">
        <v>13</v>
      </c>
      <c r="AM52" t="s">
        <v>104</v>
      </c>
      <c r="AN52" t="s">
        <v>25</v>
      </c>
      <c r="AO52" s="13" t="s">
        <v>14</v>
      </c>
      <c r="AP52" t="s">
        <v>4</v>
      </c>
      <c r="AQ52" s="13" t="s">
        <v>5</v>
      </c>
      <c r="AR52" s="13" t="s">
        <v>6</v>
      </c>
      <c r="AS52" s="13" t="s">
        <v>7</v>
      </c>
      <c r="AT52" s="13" t="s">
        <v>8</v>
      </c>
      <c r="AU52" t="s">
        <v>9</v>
      </c>
      <c r="BJ52" t="s">
        <v>26</v>
      </c>
      <c r="BK52" s="13" t="s">
        <v>104</v>
      </c>
      <c r="BL52" t="s">
        <v>25</v>
      </c>
      <c r="BM52" s="13" t="s">
        <v>14</v>
      </c>
      <c r="BN52" t="s">
        <v>4</v>
      </c>
      <c r="BO52" s="13" t="s">
        <v>5</v>
      </c>
      <c r="BP52" s="13" t="s">
        <v>6</v>
      </c>
      <c r="BQ52" s="13" t="s">
        <v>7</v>
      </c>
      <c r="BR52" s="13" t="s">
        <v>8</v>
      </c>
      <c r="BS52" t="s">
        <v>9</v>
      </c>
    </row>
    <row r="53" spans="2:73" ht="15.95">
      <c r="C53" s="5" t="s">
        <v>10</v>
      </c>
      <c r="D53" s="5">
        <v>71</v>
      </c>
      <c r="E53" s="5">
        <v>5</v>
      </c>
      <c r="F53" s="5">
        <v>3</v>
      </c>
      <c r="G53" s="5">
        <v>5</v>
      </c>
      <c r="H53" s="5">
        <v>0</v>
      </c>
      <c r="I53" s="5">
        <v>0</v>
      </c>
      <c r="J53" s="5">
        <v>2</v>
      </c>
      <c r="K53" s="5">
        <v>1</v>
      </c>
      <c r="L53" s="11">
        <f>SUM(D53:K53)</f>
        <v>87</v>
      </c>
      <c r="AM53" t="s">
        <v>10</v>
      </c>
      <c r="AN53" s="13">
        <v>31</v>
      </c>
      <c r="AO53" s="13">
        <v>5</v>
      </c>
      <c r="AP53" s="13">
        <v>0</v>
      </c>
      <c r="AQ53" s="13">
        <v>2</v>
      </c>
      <c r="AR53" s="13">
        <v>0</v>
      </c>
      <c r="AS53" s="13">
        <v>0</v>
      </c>
      <c r="AT53" s="13">
        <v>3</v>
      </c>
      <c r="AU53" s="13">
        <v>1</v>
      </c>
      <c r="AV53">
        <f>SUM(AN53:AU53)</f>
        <v>42</v>
      </c>
      <c r="BK53" s="13" t="s">
        <v>10</v>
      </c>
      <c r="BL53" s="13">
        <f t="shared" ref="BL53:BL55" si="132">AVERAGE(D53,P53,AB53,AN53,AZ53)</f>
        <v>51</v>
      </c>
      <c r="BM53" s="13">
        <f t="shared" ref="BM53:BM55" si="133">AVERAGE(E53,Q53,AC53,AO53,BA53)</f>
        <v>5</v>
      </c>
      <c r="BN53" s="13">
        <f t="shared" ref="BN53:BN55" si="134">AVERAGE(F53,R53,AD53,AP53,BB53)</f>
        <v>1.5</v>
      </c>
      <c r="BO53" s="13">
        <f t="shared" ref="BO53:BO55" si="135">AVERAGE(G53,S53,AE53,AQ53,BC53)</f>
        <v>3.5</v>
      </c>
      <c r="BP53" s="13">
        <f t="shared" ref="BP53:BP55" si="136">AVERAGE(H53,T53,AF53,AR53,BD53)</f>
        <v>0</v>
      </c>
      <c r="BQ53" s="13">
        <f t="shared" ref="BQ53:BQ55" si="137">AVERAGE(I53,U53,AG53,AS53,BE53)</f>
        <v>0</v>
      </c>
      <c r="BR53" s="13">
        <f t="shared" ref="BR53:BR55" si="138">AVERAGE(J53,V53,AH53,AT53,BF53)</f>
        <v>2.5</v>
      </c>
      <c r="BS53" s="13">
        <f t="shared" ref="BS53:BS55" si="139">AVERAGE(K53,W53,AI53,AU53,BG53)</f>
        <v>1</v>
      </c>
      <c r="BT53">
        <f>SUM(BL53:BS53)</f>
        <v>64.5</v>
      </c>
      <c r="BU53">
        <f>AVERAGE(L53,X53,AJ53,AV53,BH53)</f>
        <v>64.5</v>
      </c>
    </row>
    <row r="54" spans="2:73" ht="15.95">
      <c r="C54" s="5" t="s">
        <v>11</v>
      </c>
      <c r="D54" s="5">
        <v>20</v>
      </c>
      <c r="E54" s="5">
        <v>4</v>
      </c>
      <c r="F54" s="5">
        <v>0</v>
      </c>
      <c r="G54" s="5">
        <v>0</v>
      </c>
      <c r="H54" s="5">
        <v>5</v>
      </c>
      <c r="I54" s="5">
        <v>0</v>
      </c>
      <c r="J54" s="5">
        <v>0</v>
      </c>
      <c r="K54" s="5">
        <v>0</v>
      </c>
      <c r="L54" s="11">
        <f t="shared" ref="L54:L55" si="140">SUM(D54:K54)</f>
        <v>29</v>
      </c>
      <c r="AM54" t="s">
        <v>11</v>
      </c>
      <c r="AN54" s="13">
        <v>6</v>
      </c>
      <c r="AO54" s="13">
        <v>0</v>
      </c>
      <c r="AP54" s="13">
        <v>1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>
        <f t="shared" ref="AV54:AV55" si="141">SUM(AN54:AU54)</f>
        <v>7</v>
      </c>
      <c r="BK54" s="13" t="s">
        <v>11</v>
      </c>
      <c r="BL54" s="13">
        <f t="shared" si="132"/>
        <v>13</v>
      </c>
      <c r="BM54" s="13">
        <f t="shared" si="133"/>
        <v>2</v>
      </c>
      <c r="BN54" s="13">
        <f t="shared" si="134"/>
        <v>0.5</v>
      </c>
      <c r="BO54" s="13">
        <f t="shared" si="135"/>
        <v>0</v>
      </c>
      <c r="BP54" s="13">
        <f t="shared" si="136"/>
        <v>2.5</v>
      </c>
      <c r="BQ54" s="13">
        <f t="shared" si="137"/>
        <v>0</v>
      </c>
      <c r="BR54" s="13">
        <f t="shared" si="138"/>
        <v>0</v>
      </c>
      <c r="BS54" s="13">
        <f t="shared" si="139"/>
        <v>0</v>
      </c>
      <c r="BT54">
        <f t="shared" ref="BT54:BT55" si="142">SUM(BL54:BS54)</f>
        <v>18</v>
      </c>
      <c r="BU54">
        <f t="shared" ref="BU54:BU56" si="143">AVERAGE(L54,X54,AJ54,AV54,BH54)</f>
        <v>18</v>
      </c>
    </row>
    <row r="55" spans="2:73" ht="15.95">
      <c r="C55" t="s">
        <v>12</v>
      </c>
      <c r="D55">
        <v>10</v>
      </c>
      <c r="E55">
        <v>0</v>
      </c>
      <c r="F55">
        <v>0</v>
      </c>
      <c r="G55">
        <v>0</v>
      </c>
      <c r="H55">
        <v>6</v>
      </c>
      <c r="I55">
        <v>0</v>
      </c>
      <c r="J55">
        <v>0</v>
      </c>
      <c r="K55">
        <v>0</v>
      </c>
      <c r="L55" s="11">
        <f t="shared" si="140"/>
        <v>16</v>
      </c>
      <c r="AM55" t="s">
        <v>12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f t="shared" si="141"/>
        <v>2</v>
      </c>
      <c r="BK55" t="s">
        <v>12</v>
      </c>
      <c r="BL55" s="13">
        <f t="shared" si="132"/>
        <v>5.5</v>
      </c>
      <c r="BM55" s="13">
        <f t="shared" si="133"/>
        <v>0</v>
      </c>
      <c r="BN55" s="13">
        <f t="shared" si="134"/>
        <v>0</v>
      </c>
      <c r="BO55" s="13">
        <f t="shared" si="135"/>
        <v>0</v>
      </c>
      <c r="BP55" s="13">
        <f t="shared" si="136"/>
        <v>3.5</v>
      </c>
      <c r="BQ55" s="13">
        <f t="shared" si="137"/>
        <v>0</v>
      </c>
      <c r="BR55" s="13">
        <f t="shared" si="138"/>
        <v>0</v>
      </c>
      <c r="BS55" s="13">
        <f t="shared" si="139"/>
        <v>0</v>
      </c>
      <c r="BT55">
        <f t="shared" si="142"/>
        <v>9</v>
      </c>
      <c r="BU55">
        <f t="shared" si="143"/>
        <v>9</v>
      </c>
    </row>
    <row r="56" spans="2:73" ht="15.95">
      <c r="L56" s="11">
        <f>SUM(L53:L55)</f>
        <v>132</v>
      </c>
      <c r="AV56">
        <f>SUM(AV53:AV55)</f>
        <v>51</v>
      </c>
      <c r="BT56" s="13">
        <f t="shared" ref="BT56" si="144">SUM(BT53,BT54,BT55)</f>
        <v>91.5</v>
      </c>
      <c r="BU56">
        <f t="shared" si="143"/>
        <v>91.5</v>
      </c>
    </row>
    <row r="57" spans="2:73" ht="15.95">
      <c r="B57" t="s">
        <v>20</v>
      </c>
      <c r="C57" s="5" t="s">
        <v>105</v>
      </c>
      <c r="D57" t="s">
        <v>25</v>
      </c>
      <c r="E57" s="5" t="s">
        <v>14</v>
      </c>
      <c r="F57" t="s">
        <v>4</v>
      </c>
      <c r="G57" s="5" t="s">
        <v>5</v>
      </c>
      <c r="H57" s="5" t="s">
        <v>6</v>
      </c>
      <c r="I57" s="5" t="s">
        <v>7</v>
      </c>
      <c r="J57" s="5" t="s">
        <v>8</v>
      </c>
      <c r="K57" t="s">
        <v>9</v>
      </c>
      <c r="AL57" t="s">
        <v>13</v>
      </c>
      <c r="AM57" t="s">
        <v>105</v>
      </c>
      <c r="AN57" t="s">
        <v>25</v>
      </c>
      <c r="AO57" s="13" t="s">
        <v>14</v>
      </c>
      <c r="AP57" t="s">
        <v>4</v>
      </c>
      <c r="AQ57" s="13" t="s">
        <v>5</v>
      </c>
      <c r="AR57" s="13" t="s">
        <v>6</v>
      </c>
      <c r="AS57" s="13" t="s">
        <v>7</v>
      </c>
      <c r="AT57" s="13" t="s">
        <v>8</v>
      </c>
      <c r="AU57" t="s">
        <v>9</v>
      </c>
      <c r="BJ57" t="s">
        <v>26</v>
      </c>
      <c r="BK57" s="13" t="s">
        <v>105</v>
      </c>
      <c r="BL57" t="s">
        <v>25</v>
      </c>
      <c r="BM57" s="13" t="s">
        <v>14</v>
      </c>
      <c r="BN57" t="s">
        <v>4</v>
      </c>
      <c r="BO57" s="13" t="s">
        <v>5</v>
      </c>
      <c r="BP57" s="13" t="s">
        <v>6</v>
      </c>
      <c r="BQ57" s="13" t="s">
        <v>7</v>
      </c>
      <c r="BR57" s="13" t="s">
        <v>8</v>
      </c>
      <c r="BS57" t="s">
        <v>9</v>
      </c>
    </row>
    <row r="58" spans="2:73" ht="15.95">
      <c r="C58" s="5" t="s">
        <v>10</v>
      </c>
      <c r="D58" s="5">
        <v>169</v>
      </c>
      <c r="E58" s="5">
        <v>8</v>
      </c>
      <c r="F58" s="5">
        <v>2</v>
      </c>
      <c r="G58" s="5">
        <v>5</v>
      </c>
      <c r="H58" s="5">
        <v>6</v>
      </c>
      <c r="I58" s="5">
        <v>0</v>
      </c>
      <c r="J58" s="5">
        <v>4</v>
      </c>
      <c r="K58" s="5">
        <v>1</v>
      </c>
      <c r="L58" s="11">
        <f>SUM(D58:K58)</f>
        <v>195</v>
      </c>
      <c r="AM58" t="s">
        <v>10</v>
      </c>
      <c r="AN58" s="13">
        <v>46</v>
      </c>
      <c r="AO58" s="13">
        <v>4</v>
      </c>
      <c r="AP58" s="13">
        <v>1</v>
      </c>
      <c r="AQ58" s="13">
        <v>4</v>
      </c>
      <c r="AR58" s="13">
        <v>1</v>
      </c>
      <c r="AS58" s="13">
        <v>0</v>
      </c>
      <c r="AT58" s="13">
        <v>5</v>
      </c>
      <c r="AU58" s="13">
        <v>0</v>
      </c>
      <c r="AV58">
        <f>SUM(AN58:AU58)</f>
        <v>61</v>
      </c>
      <c r="BK58" s="13" t="s">
        <v>10</v>
      </c>
      <c r="BL58" s="13">
        <f t="shared" ref="BL58:BL60" si="145">AVERAGE(D58,P58,AB58,AN58,AZ58)</f>
        <v>107.5</v>
      </c>
      <c r="BM58" s="13">
        <f t="shared" ref="BM58:BM60" si="146">AVERAGE(E58,Q58,AC58,AO58,BA58)</f>
        <v>6</v>
      </c>
      <c r="BN58" s="13">
        <f t="shared" ref="BN58:BN60" si="147">AVERAGE(F58,R58,AD58,AP58,BB58)</f>
        <v>1.5</v>
      </c>
      <c r="BO58" s="13">
        <f t="shared" ref="BO58:BO60" si="148">AVERAGE(G58,S58,AE58,AQ58,BC58)</f>
        <v>4.5</v>
      </c>
      <c r="BP58" s="13">
        <f t="shared" ref="BP58:BP60" si="149">AVERAGE(H58,T58,AF58,AR58,BD58)</f>
        <v>3.5</v>
      </c>
      <c r="BQ58" s="13">
        <f>AVERAGE(I58,U58,AG58,AS58,BE58)</f>
        <v>0</v>
      </c>
      <c r="BR58" s="13">
        <f t="shared" ref="BR58:BR60" si="150">AVERAGE(J58,V58,AH58,AT58,BF58)</f>
        <v>4.5</v>
      </c>
      <c r="BS58" s="13">
        <f t="shared" ref="BS58:BS60" si="151">AVERAGE(K58,W58,AI58,AU58,BG58)</f>
        <v>0.5</v>
      </c>
      <c r="BT58">
        <f>SUM(BL58:BS58)</f>
        <v>128</v>
      </c>
      <c r="BU58">
        <f>AVERAGE(L58,X58,AJ58,AV58,BH58)</f>
        <v>128</v>
      </c>
    </row>
    <row r="59" spans="2:73" ht="15.95">
      <c r="C59" s="5" t="s">
        <v>11</v>
      </c>
      <c r="D59" s="5">
        <v>11</v>
      </c>
      <c r="E59" s="5">
        <v>3</v>
      </c>
      <c r="F59" s="5">
        <v>0</v>
      </c>
      <c r="G59" s="5">
        <v>0</v>
      </c>
      <c r="H59" s="5">
        <v>8</v>
      </c>
      <c r="I59" s="5">
        <v>0</v>
      </c>
      <c r="J59" s="5">
        <v>0</v>
      </c>
      <c r="K59" s="5">
        <v>0</v>
      </c>
      <c r="L59" s="11">
        <f t="shared" ref="L59:L60" si="152">SUM(D59:K59)</f>
        <v>22</v>
      </c>
      <c r="AM59" t="s">
        <v>11</v>
      </c>
      <c r="AN59" s="13">
        <v>7</v>
      </c>
      <c r="AO59" s="13">
        <v>0</v>
      </c>
      <c r="AP59" s="13">
        <v>0</v>
      </c>
      <c r="AQ59" s="13">
        <v>0</v>
      </c>
      <c r="AR59" s="13">
        <v>2</v>
      </c>
      <c r="AS59" s="13">
        <v>0</v>
      </c>
      <c r="AT59" s="13">
        <v>0</v>
      </c>
      <c r="AU59" s="13">
        <v>0</v>
      </c>
      <c r="AV59">
        <f t="shared" ref="AV59:AV60" si="153">SUM(AN59:AU59)</f>
        <v>9</v>
      </c>
      <c r="BK59" s="13" t="s">
        <v>11</v>
      </c>
      <c r="BL59" s="13">
        <f t="shared" si="145"/>
        <v>9</v>
      </c>
      <c r="BM59" s="13">
        <f t="shared" si="146"/>
        <v>1.5</v>
      </c>
      <c r="BN59" s="13">
        <f t="shared" si="147"/>
        <v>0</v>
      </c>
      <c r="BO59" s="13">
        <f t="shared" si="148"/>
        <v>0</v>
      </c>
      <c r="BP59" s="13">
        <f t="shared" si="149"/>
        <v>5</v>
      </c>
      <c r="BQ59" s="13">
        <f t="shared" ref="BQ59:BQ60" si="154">AVERAGE(I59,U59,AG59,AS59,BE59)</f>
        <v>0</v>
      </c>
      <c r="BR59" s="13">
        <f t="shared" si="150"/>
        <v>0</v>
      </c>
      <c r="BS59" s="13">
        <f t="shared" si="151"/>
        <v>0</v>
      </c>
      <c r="BT59">
        <f t="shared" ref="BT59:BT80" si="155">SUM(BL59:BS59)</f>
        <v>15.5</v>
      </c>
      <c r="BU59">
        <f t="shared" ref="BU59:BU61" si="156">AVERAGE(L59,X59,AJ59,AV59,BH59)</f>
        <v>15.5</v>
      </c>
    </row>
    <row r="60" spans="2:73" ht="15.95">
      <c r="C60" t="s">
        <v>12</v>
      </c>
      <c r="D60">
        <v>13</v>
      </c>
      <c r="E60">
        <v>0</v>
      </c>
      <c r="F60">
        <v>0</v>
      </c>
      <c r="G60">
        <v>0</v>
      </c>
      <c r="H60">
        <v>21</v>
      </c>
      <c r="I60">
        <v>0</v>
      </c>
      <c r="J60">
        <v>0</v>
      </c>
      <c r="K60">
        <v>0</v>
      </c>
      <c r="L60" s="11">
        <f t="shared" si="152"/>
        <v>34</v>
      </c>
      <c r="AM60" t="s">
        <v>12</v>
      </c>
      <c r="AN60">
        <v>5</v>
      </c>
      <c r="AO60">
        <v>0</v>
      </c>
      <c r="AP60">
        <v>0</v>
      </c>
      <c r="AQ60">
        <v>0</v>
      </c>
      <c r="AR60">
        <v>3</v>
      </c>
      <c r="AS60">
        <v>0</v>
      </c>
      <c r="AT60">
        <v>0</v>
      </c>
      <c r="AU60">
        <v>0</v>
      </c>
      <c r="AV60">
        <f t="shared" si="153"/>
        <v>8</v>
      </c>
      <c r="BK60" t="s">
        <v>12</v>
      </c>
      <c r="BL60" s="13">
        <f t="shared" si="145"/>
        <v>9</v>
      </c>
      <c r="BM60" s="13">
        <f t="shared" si="146"/>
        <v>0</v>
      </c>
      <c r="BN60" s="13">
        <f t="shared" si="147"/>
        <v>0</v>
      </c>
      <c r="BO60" s="13">
        <f t="shared" si="148"/>
        <v>0</v>
      </c>
      <c r="BP60" s="13">
        <f t="shared" si="149"/>
        <v>12</v>
      </c>
      <c r="BQ60" s="13">
        <f t="shared" si="154"/>
        <v>0</v>
      </c>
      <c r="BR60" s="13">
        <f t="shared" si="150"/>
        <v>0</v>
      </c>
      <c r="BS60" s="13">
        <f t="shared" si="151"/>
        <v>0</v>
      </c>
      <c r="BT60">
        <f t="shared" si="155"/>
        <v>21</v>
      </c>
      <c r="BU60">
        <f t="shared" si="156"/>
        <v>21</v>
      </c>
    </row>
    <row r="61" spans="2:73" ht="15.95">
      <c r="L61" s="11">
        <f>SUM(L58:L60)</f>
        <v>251</v>
      </c>
      <c r="AV61">
        <f>SUM(AV58:AV60)</f>
        <v>78</v>
      </c>
      <c r="BT61" s="13">
        <f t="shared" ref="BT61:BT121" si="157">SUM(BT58,BT59,BT60)</f>
        <v>164.5</v>
      </c>
      <c r="BU61">
        <f t="shared" si="156"/>
        <v>164.5</v>
      </c>
    </row>
    <row r="62" spans="2:73" ht="15.95">
      <c r="B62" t="s">
        <v>20</v>
      </c>
      <c r="C62" s="5" t="s">
        <v>106</v>
      </c>
      <c r="D62" t="s">
        <v>25</v>
      </c>
      <c r="E62" s="5" t="s">
        <v>14</v>
      </c>
      <c r="F62" t="s">
        <v>4</v>
      </c>
      <c r="G62" s="5" t="s">
        <v>5</v>
      </c>
      <c r="H62" s="5" t="s">
        <v>6</v>
      </c>
      <c r="I62" s="5" t="s">
        <v>7</v>
      </c>
      <c r="J62" s="5" t="s">
        <v>8</v>
      </c>
      <c r="K62" t="s">
        <v>9</v>
      </c>
      <c r="N62" t="s">
        <v>20</v>
      </c>
      <c r="O62" s="5" t="s">
        <v>106</v>
      </c>
      <c r="P62" t="s">
        <v>25</v>
      </c>
      <c r="Q62" s="5" t="s">
        <v>14</v>
      </c>
      <c r="R62" t="s">
        <v>4</v>
      </c>
      <c r="S62" s="5" t="s">
        <v>5</v>
      </c>
      <c r="T62" s="5" t="s">
        <v>6</v>
      </c>
      <c r="U62" s="5" t="s">
        <v>7</v>
      </c>
      <c r="V62" s="5" t="s">
        <v>8</v>
      </c>
      <c r="W62" t="s">
        <v>9</v>
      </c>
      <c r="BJ62" t="s">
        <v>26</v>
      </c>
      <c r="BK62" s="13" t="s">
        <v>106</v>
      </c>
      <c r="BL62" t="s">
        <v>25</v>
      </c>
      <c r="BM62" s="13" t="s">
        <v>14</v>
      </c>
      <c r="BN62" t="s">
        <v>4</v>
      </c>
      <c r="BO62" s="13" t="s">
        <v>5</v>
      </c>
      <c r="BP62" s="13" t="s">
        <v>6</v>
      </c>
      <c r="BQ62" s="13" t="s">
        <v>7</v>
      </c>
      <c r="BR62" s="13" t="s">
        <v>8</v>
      </c>
      <c r="BS62" t="s">
        <v>9</v>
      </c>
    </row>
    <row r="63" spans="2:73" ht="15.95">
      <c r="C63" s="5" t="s">
        <v>10</v>
      </c>
      <c r="D63" s="5">
        <v>50</v>
      </c>
      <c r="E63" s="5">
        <v>11</v>
      </c>
      <c r="F63" s="5">
        <v>0</v>
      </c>
      <c r="G63" s="5">
        <v>2</v>
      </c>
      <c r="H63" s="5">
        <v>1</v>
      </c>
      <c r="I63" s="5">
        <v>0</v>
      </c>
      <c r="J63" s="5">
        <v>1</v>
      </c>
      <c r="K63" s="5">
        <v>0</v>
      </c>
      <c r="L63" s="11">
        <f>SUM(D63:K63)</f>
        <v>65</v>
      </c>
      <c r="O63" s="5" t="s">
        <v>10</v>
      </c>
      <c r="P63" s="5">
        <v>32</v>
      </c>
      <c r="Q63" s="5">
        <v>11</v>
      </c>
      <c r="R63" s="5">
        <v>0</v>
      </c>
      <c r="S63" s="5">
        <v>1</v>
      </c>
      <c r="T63" s="5">
        <v>2</v>
      </c>
      <c r="U63" s="5">
        <v>0</v>
      </c>
      <c r="V63" s="5">
        <v>1</v>
      </c>
      <c r="W63" s="5">
        <v>0</v>
      </c>
      <c r="X63" s="11">
        <f>SUM(P63:W63)</f>
        <v>47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K63" s="13" t="s">
        <v>10</v>
      </c>
      <c r="BL63" s="13">
        <f t="shared" ref="BL63:BL65" si="158">AVERAGE(D63,P63,AB63,AN63,AZ63)</f>
        <v>41</v>
      </c>
      <c r="BM63" s="13">
        <f t="shared" ref="BM63:BM65" si="159">AVERAGE(E63,Q63,AC63,AO63,BA63)</f>
        <v>11</v>
      </c>
      <c r="BN63" s="13">
        <f t="shared" ref="BN63:BN65" si="160">AVERAGE(F63,R63,AD63,AP63,BB63)</f>
        <v>0</v>
      </c>
      <c r="BO63" s="13">
        <f t="shared" ref="BO63:BO65" si="161">AVERAGE(G63,S63,AE63,AQ63,BC63)</f>
        <v>1.5</v>
      </c>
      <c r="BP63" s="13">
        <f t="shared" ref="BP63:BP65" si="162">AVERAGE(H63,T63,AF63,AR63,BD63)</f>
        <v>1.5</v>
      </c>
      <c r="BQ63" s="13">
        <f t="shared" ref="BQ63:BQ65" si="163">AVERAGE(I63,U63,AG63,AS63,BE63)</f>
        <v>0</v>
      </c>
      <c r="BR63" s="13">
        <f t="shared" ref="BR63:BR65" si="164">AVERAGE(J63,V63,AH63,AT63,BF63)</f>
        <v>1</v>
      </c>
      <c r="BS63" s="13">
        <f t="shared" ref="BS63:BS65" si="165">AVERAGE(K63,W63,AI63,AU63,BG63)</f>
        <v>0</v>
      </c>
      <c r="BT63">
        <f t="shared" ref="BT63" si="166">SUM(BL63:BS63)</f>
        <v>56</v>
      </c>
      <c r="BU63">
        <f>AVERAGE(L63,X63,AJ63,AV63,BH63)</f>
        <v>56</v>
      </c>
    </row>
    <row r="64" spans="2:73" ht="15.95">
      <c r="C64" s="5" t="s">
        <v>11</v>
      </c>
      <c r="D64" s="5">
        <v>12</v>
      </c>
      <c r="E64" s="5">
        <v>1</v>
      </c>
      <c r="F64" s="5">
        <v>0</v>
      </c>
      <c r="G64" s="5">
        <v>0</v>
      </c>
      <c r="H64" s="5">
        <v>10</v>
      </c>
      <c r="I64" s="5">
        <v>0</v>
      </c>
      <c r="J64" s="5">
        <v>0</v>
      </c>
      <c r="K64" s="5">
        <v>0</v>
      </c>
      <c r="L64" s="11">
        <f t="shared" ref="L64:L65" si="167">SUM(D64:K64)</f>
        <v>23</v>
      </c>
      <c r="O64" s="5" t="s">
        <v>11</v>
      </c>
      <c r="P64" s="5">
        <v>9</v>
      </c>
      <c r="Q64" s="5">
        <v>2</v>
      </c>
      <c r="R64" s="5">
        <v>0</v>
      </c>
      <c r="S64" s="5">
        <v>0</v>
      </c>
      <c r="T64" s="5">
        <v>24</v>
      </c>
      <c r="U64" s="5">
        <v>0</v>
      </c>
      <c r="V64" s="5">
        <v>0</v>
      </c>
      <c r="W64" s="5">
        <v>0</v>
      </c>
      <c r="X64" s="11">
        <f t="shared" ref="X64:X65" si="168">SUM(P64:W64)</f>
        <v>35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K64" s="13" t="s">
        <v>11</v>
      </c>
      <c r="BL64" s="13">
        <f t="shared" si="158"/>
        <v>10.5</v>
      </c>
      <c r="BM64" s="13">
        <f t="shared" si="159"/>
        <v>1.5</v>
      </c>
      <c r="BN64" s="13">
        <f t="shared" si="160"/>
        <v>0</v>
      </c>
      <c r="BO64" s="13">
        <f t="shared" si="161"/>
        <v>0</v>
      </c>
      <c r="BP64" s="13">
        <f t="shared" si="162"/>
        <v>17</v>
      </c>
      <c r="BQ64" s="13">
        <f t="shared" si="163"/>
        <v>0</v>
      </c>
      <c r="BR64" s="13">
        <f t="shared" si="164"/>
        <v>0</v>
      </c>
      <c r="BS64" s="13">
        <f t="shared" si="165"/>
        <v>0</v>
      </c>
      <c r="BT64">
        <f t="shared" si="155"/>
        <v>29</v>
      </c>
      <c r="BU64">
        <f t="shared" ref="BU64:BU66" si="169">AVERAGE(L64,X64,AJ64,AV64,BH64)</f>
        <v>29</v>
      </c>
    </row>
    <row r="65" spans="2:73" ht="15.95">
      <c r="C65" t="s">
        <v>12</v>
      </c>
      <c r="D65">
        <v>7</v>
      </c>
      <c r="E65">
        <v>0</v>
      </c>
      <c r="F65">
        <v>0</v>
      </c>
      <c r="G65">
        <v>0</v>
      </c>
      <c r="H65">
        <v>22</v>
      </c>
      <c r="I65">
        <v>0</v>
      </c>
      <c r="J65">
        <v>0</v>
      </c>
      <c r="K65">
        <v>0</v>
      </c>
      <c r="L65" s="11">
        <f t="shared" si="167"/>
        <v>29</v>
      </c>
      <c r="O65" t="s">
        <v>12</v>
      </c>
      <c r="P65">
        <v>3</v>
      </c>
      <c r="Q65">
        <v>0</v>
      </c>
      <c r="R65">
        <v>0</v>
      </c>
      <c r="S65">
        <v>0</v>
      </c>
      <c r="T65">
        <v>5</v>
      </c>
      <c r="U65">
        <v>0</v>
      </c>
      <c r="V65">
        <v>0</v>
      </c>
      <c r="W65">
        <v>0</v>
      </c>
      <c r="X65" s="11">
        <f t="shared" si="168"/>
        <v>8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K65" t="s">
        <v>12</v>
      </c>
      <c r="BL65" s="13">
        <f t="shared" si="158"/>
        <v>5</v>
      </c>
      <c r="BM65" s="13">
        <f t="shared" si="159"/>
        <v>0</v>
      </c>
      <c r="BN65" s="13">
        <f t="shared" si="160"/>
        <v>0</v>
      </c>
      <c r="BO65" s="13">
        <f t="shared" si="161"/>
        <v>0</v>
      </c>
      <c r="BP65" s="13">
        <f t="shared" si="162"/>
        <v>13.5</v>
      </c>
      <c r="BQ65" s="13">
        <f t="shared" si="163"/>
        <v>0</v>
      </c>
      <c r="BR65" s="13">
        <f t="shared" si="164"/>
        <v>0</v>
      </c>
      <c r="BS65" s="13">
        <f t="shared" si="165"/>
        <v>0</v>
      </c>
      <c r="BT65">
        <f t="shared" si="155"/>
        <v>18.5</v>
      </c>
      <c r="BU65">
        <f t="shared" si="169"/>
        <v>18.5</v>
      </c>
    </row>
    <row r="66" spans="2:73" ht="15.95">
      <c r="L66" s="11">
        <f>SUM(L63:L65)</f>
        <v>117</v>
      </c>
      <c r="X66" s="11">
        <f>SUM(X63:X65)</f>
        <v>90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T66" s="13">
        <f t="shared" si="157"/>
        <v>103.5</v>
      </c>
      <c r="BU66">
        <f t="shared" si="169"/>
        <v>103.5</v>
      </c>
    </row>
    <row r="67" spans="2:73" ht="15.95">
      <c r="B67" t="s">
        <v>20</v>
      </c>
      <c r="C67" s="5" t="s">
        <v>107</v>
      </c>
      <c r="D67" t="s">
        <v>25</v>
      </c>
      <c r="E67" s="5" t="s">
        <v>14</v>
      </c>
      <c r="F67" t="s">
        <v>4</v>
      </c>
      <c r="G67" s="5" t="s">
        <v>5</v>
      </c>
      <c r="H67" s="5" t="s">
        <v>6</v>
      </c>
      <c r="I67" s="5" t="s">
        <v>7</v>
      </c>
      <c r="J67" s="5" t="s">
        <v>8</v>
      </c>
      <c r="K67" t="s">
        <v>9</v>
      </c>
      <c r="N67" t="s">
        <v>20</v>
      </c>
      <c r="O67" s="5" t="s">
        <v>107</v>
      </c>
      <c r="P67" t="s">
        <v>25</v>
      </c>
      <c r="Q67" s="5" t="s">
        <v>14</v>
      </c>
      <c r="R67" t="s">
        <v>4</v>
      </c>
      <c r="S67" s="5" t="s">
        <v>5</v>
      </c>
      <c r="T67" s="5" t="s">
        <v>6</v>
      </c>
      <c r="U67" s="5" t="s">
        <v>7</v>
      </c>
      <c r="V67" s="5" t="s">
        <v>8</v>
      </c>
      <c r="W67" t="s">
        <v>9</v>
      </c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J67" t="s">
        <v>26</v>
      </c>
      <c r="BK67" s="13" t="s">
        <v>107</v>
      </c>
      <c r="BL67" t="s">
        <v>25</v>
      </c>
      <c r="BM67" s="13" t="s">
        <v>14</v>
      </c>
      <c r="BN67" t="s">
        <v>4</v>
      </c>
      <c r="BO67" s="13" t="s">
        <v>5</v>
      </c>
      <c r="BP67" s="13" t="s">
        <v>6</v>
      </c>
      <c r="BQ67" s="13" t="s">
        <v>7</v>
      </c>
      <c r="BR67" s="13" t="s">
        <v>8</v>
      </c>
      <c r="BS67" t="s">
        <v>9</v>
      </c>
    </row>
    <row r="68" spans="2:73" ht="15.95">
      <c r="C68" s="5" t="s">
        <v>10</v>
      </c>
      <c r="D68" s="5">
        <v>29</v>
      </c>
      <c r="E68" s="5">
        <v>5</v>
      </c>
      <c r="F68" s="5">
        <v>1</v>
      </c>
      <c r="G68" s="5">
        <v>2</v>
      </c>
      <c r="H68" s="5">
        <v>1</v>
      </c>
      <c r="I68" s="5">
        <v>0</v>
      </c>
      <c r="J68" s="5">
        <v>2</v>
      </c>
      <c r="K68" s="5">
        <v>0</v>
      </c>
      <c r="L68" s="11">
        <f>SUM(D68:K68)</f>
        <v>40</v>
      </c>
      <c r="O68" s="5" t="s">
        <v>10</v>
      </c>
      <c r="P68" s="5">
        <v>19</v>
      </c>
      <c r="Q68" s="5">
        <v>7</v>
      </c>
      <c r="R68" s="5">
        <v>1</v>
      </c>
      <c r="S68" s="5">
        <v>2</v>
      </c>
      <c r="T68" s="5">
        <v>1</v>
      </c>
      <c r="U68" s="5">
        <v>0</v>
      </c>
      <c r="V68" s="5">
        <v>1</v>
      </c>
      <c r="W68" s="5">
        <v>0</v>
      </c>
      <c r="X68" s="11">
        <f>SUM(P68:W68)</f>
        <v>31</v>
      </c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K68" s="13" t="s">
        <v>10</v>
      </c>
      <c r="BL68" s="13">
        <f t="shared" ref="BL68:BL70" si="170">AVERAGE(D68,P68,AB68,AN68,AZ68)</f>
        <v>24</v>
      </c>
      <c r="BM68" s="13">
        <f t="shared" ref="BM68:BM70" si="171">AVERAGE(E68,Q68,AC68,AO68,BA68)</f>
        <v>6</v>
      </c>
      <c r="BN68" s="13">
        <f t="shared" ref="BN68:BN70" si="172">AVERAGE(F68,R68,AD68,AP68,BB68)</f>
        <v>1</v>
      </c>
      <c r="BO68" s="13">
        <f t="shared" ref="BO68:BO70" si="173">AVERAGE(G68,S68,AE68,AQ68,BC68)</f>
        <v>2</v>
      </c>
      <c r="BP68" s="13">
        <f t="shared" ref="BP68:BP70" si="174">AVERAGE(H68,T68,AF68,AR68,BD68)</f>
        <v>1</v>
      </c>
      <c r="BQ68" s="13">
        <f t="shared" ref="BQ68:BQ70" si="175">AVERAGE(I68,U68,AG68,AS68,BE68)</f>
        <v>0</v>
      </c>
      <c r="BR68" s="13">
        <f t="shared" ref="BR68:BR70" si="176">AVERAGE(J68,V68,AH68,AT68,BF68)</f>
        <v>1.5</v>
      </c>
      <c r="BS68" s="13">
        <f t="shared" ref="BS68:BS70" si="177">AVERAGE(K68,W68,AI68,AU68,BG68)</f>
        <v>0</v>
      </c>
      <c r="BT68">
        <f t="shared" ref="BT68" si="178">SUM(BL68:BS68)</f>
        <v>35.5</v>
      </c>
      <c r="BU68">
        <f>AVERAGE(L68,X68,AJ68,AV68,BH68)</f>
        <v>35.5</v>
      </c>
    </row>
    <row r="69" spans="2:73" ht="15.95">
      <c r="C69" s="5" t="s">
        <v>11</v>
      </c>
      <c r="D69" s="5">
        <v>8</v>
      </c>
      <c r="E69" s="5">
        <v>1</v>
      </c>
      <c r="F69" s="5">
        <v>0</v>
      </c>
      <c r="G69" s="5">
        <v>0</v>
      </c>
      <c r="H69" s="5">
        <v>6</v>
      </c>
      <c r="I69" s="5">
        <v>0</v>
      </c>
      <c r="J69" s="5">
        <v>0</v>
      </c>
      <c r="K69" s="5">
        <v>0</v>
      </c>
      <c r="L69" s="11">
        <f t="shared" ref="L69:L70" si="179">SUM(D69:K69)</f>
        <v>15</v>
      </c>
      <c r="O69" s="5" t="s">
        <v>11</v>
      </c>
      <c r="P69" s="5">
        <v>4</v>
      </c>
      <c r="Q69" s="5">
        <v>1</v>
      </c>
      <c r="R69" s="5">
        <v>0</v>
      </c>
      <c r="S69" s="5">
        <v>0</v>
      </c>
      <c r="T69" s="5">
        <v>10</v>
      </c>
      <c r="U69" s="5">
        <v>0</v>
      </c>
      <c r="V69" s="5">
        <v>0</v>
      </c>
      <c r="W69" s="5">
        <v>0</v>
      </c>
      <c r="X69" s="11">
        <f t="shared" ref="X69:X70" si="180">SUM(P69:W69)</f>
        <v>15</v>
      </c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K69" s="13" t="s">
        <v>11</v>
      </c>
      <c r="BL69" s="13">
        <f t="shared" si="170"/>
        <v>6</v>
      </c>
      <c r="BM69" s="13">
        <f t="shared" si="171"/>
        <v>1</v>
      </c>
      <c r="BN69" s="13">
        <f t="shared" si="172"/>
        <v>0</v>
      </c>
      <c r="BO69" s="13">
        <f t="shared" si="173"/>
        <v>0</v>
      </c>
      <c r="BP69" s="13">
        <f t="shared" si="174"/>
        <v>8</v>
      </c>
      <c r="BQ69" s="13">
        <f t="shared" si="175"/>
        <v>0</v>
      </c>
      <c r="BR69" s="13">
        <f t="shared" si="176"/>
        <v>0</v>
      </c>
      <c r="BS69" s="13">
        <f t="shared" si="177"/>
        <v>0</v>
      </c>
      <c r="BT69">
        <f t="shared" si="155"/>
        <v>15</v>
      </c>
      <c r="BU69">
        <f t="shared" ref="BU69:BU71" si="181">AVERAGE(L69,X69,AJ69,AV69,BH69)</f>
        <v>15</v>
      </c>
    </row>
    <row r="70" spans="2:73" ht="15.95">
      <c r="C70" t="s">
        <v>12</v>
      </c>
      <c r="D70">
        <v>15</v>
      </c>
      <c r="E70">
        <v>0</v>
      </c>
      <c r="F70">
        <v>0</v>
      </c>
      <c r="G70">
        <v>0</v>
      </c>
      <c r="H70">
        <v>8</v>
      </c>
      <c r="I70">
        <v>0</v>
      </c>
      <c r="J70">
        <v>0</v>
      </c>
      <c r="K70">
        <v>0</v>
      </c>
      <c r="L70" s="11">
        <f t="shared" si="179"/>
        <v>23</v>
      </c>
      <c r="O70" t="s">
        <v>12</v>
      </c>
      <c r="P70">
        <v>11</v>
      </c>
      <c r="Q70">
        <v>0</v>
      </c>
      <c r="R70">
        <v>0</v>
      </c>
      <c r="S70">
        <v>0</v>
      </c>
      <c r="T70">
        <v>8</v>
      </c>
      <c r="U70">
        <v>0</v>
      </c>
      <c r="V70">
        <v>0</v>
      </c>
      <c r="W70">
        <v>0</v>
      </c>
      <c r="X70" s="11">
        <f t="shared" si="180"/>
        <v>19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K70" t="s">
        <v>12</v>
      </c>
      <c r="BL70" s="13">
        <f t="shared" si="170"/>
        <v>13</v>
      </c>
      <c r="BM70" s="13">
        <f t="shared" si="171"/>
        <v>0</v>
      </c>
      <c r="BN70" s="13">
        <f t="shared" si="172"/>
        <v>0</v>
      </c>
      <c r="BO70" s="13">
        <f t="shared" si="173"/>
        <v>0</v>
      </c>
      <c r="BP70" s="13">
        <f t="shared" si="174"/>
        <v>8</v>
      </c>
      <c r="BQ70" s="13">
        <f t="shared" si="175"/>
        <v>0</v>
      </c>
      <c r="BR70" s="13">
        <f t="shared" si="176"/>
        <v>0</v>
      </c>
      <c r="BS70" s="13">
        <f t="shared" si="177"/>
        <v>0</v>
      </c>
      <c r="BT70">
        <f t="shared" si="155"/>
        <v>21</v>
      </c>
      <c r="BU70">
        <f t="shared" si="181"/>
        <v>21</v>
      </c>
    </row>
    <row r="71" spans="2:73" ht="15.95">
      <c r="L71" s="11">
        <f>SUM(L68:L70)</f>
        <v>78</v>
      </c>
      <c r="X71" s="11">
        <f>SUM(X68:X70)</f>
        <v>65</v>
      </c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T71" s="13">
        <f t="shared" si="157"/>
        <v>71.5</v>
      </c>
      <c r="BU71">
        <f t="shared" si="181"/>
        <v>71.5</v>
      </c>
    </row>
    <row r="72" spans="2:73" ht="15.95">
      <c r="B72" t="s">
        <v>20</v>
      </c>
      <c r="C72" s="5" t="s">
        <v>108</v>
      </c>
      <c r="D72" t="s">
        <v>25</v>
      </c>
      <c r="E72" s="5" t="s">
        <v>14</v>
      </c>
      <c r="F72" t="s">
        <v>4</v>
      </c>
      <c r="G72" s="5" t="s">
        <v>5</v>
      </c>
      <c r="H72" s="5" t="s">
        <v>6</v>
      </c>
      <c r="I72" s="5" t="s">
        <v>7</v>
      </c>
      <c r="J72" s="5" t="s">
        <v>8</v>
      </c>
      <c r="K72" t="s">
        <v>93</v>
      </c>
      <c r="N72" t="s">
        <v>20</v>
      </c>
      <c r="O72" s="5" t="s">
        <v>108</v>
      </c>
      <c r="P72" t="s">
        <v>25</v>
      </c>
      <c r="Q72" s="5" t="s">
        <v>14</v>
      </c>
      <c r="R72" t="s">
        <v>4</v>
      </c>
      <c r="S72" s="5" t="s">
        <v>5</v>
      </c>
      <c r="T72" s="5" t="s">
        <v>6</v>
      </c>
      <c r="U72" s="5" t="s">
        <v>7</v>
      </c>
      <c r="V72" s="5" t="s">
        <v>8</v>
      </c>
      <c r="W72" t="s">
        <v>93</v>
      </c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J72" t="s">
        <v>26</v>
      </c>
      <c r="BK72" s="13" t="s">
        <v>108</v>
      </c>
      <c r="BL72" t="s">
        <v>25</v>
      </c>
      <c r="BM72" s="13" t="s">
        <v>14</v>
      </c>
      <c r="BN72" t="s">
        <v>4</v>
      </c>
      <c r="BO72" s="13" t="s">
        <v>5</v>
      </c>
      <c r="BP72" s="13" t="s">
        <v>6</v>
      </c>
      <c r="BQ72" s="13" t="s">
        <v>7</v>
      </c>
      <c r="BR72" s="13" t="s">
        <v>8</v>
      </c>
      <c r="BS72" t="s">
        <v>9</v>
      </c>
    </row>
    <row r="73" spans="2:73" ht="15.95">
      <c r="C73" s="5" t="s">
        <v>10</v>
      </c>
      <c r="D73" s="5">
        <v>28</v>
      </c>
      <c r="E73" s="5">
        <v>7</v>
      </c>
      <c r="F73" s="5">
        <v>1</v>
      </c>
      <c r="G73" s="5">
        <v>1</v>
      </c>
      <c r="H73" s="5">
        <v>0</v>
      </c>
      <c r="I73" s="5">
        <v>0</v>
      </c>
      <c r="J73" s="5">
        <v>2</v>
      </c>
      <c r="K73" s="5">
        <v>1</v>
      </c>
      <c r="L73" s="11">
        <f>SUM(D73:K73)</f>
        <v>40</v>
      </c>
      <c r="O73" s="5" t="s">
        <v>10</v>
      </c>
      <c r="P73" s="5">
        <v>15</v>
      </c>
      <c r="Q73" s="5">
        <v>6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11">
        <f>SUM(P73:W73)</f>
        <v>22</v>
      </c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K73" s="13" t="s">
        <v>10</v>
      </c>
      <c r="BL73" s="13">
        <f t="shared" ref="BL73:BL75" si="182">AVERAGE(D73,P73,AB73,AN73,AZ73)</f>
        <v>21.5</v>
      </c>
      <c r="BM73" s="13">
        <f t="shared" ref="BM73:BM75" si="183">AVERAGE(E73,Q73,AC73,AO73,BA73)</f>
        <v>6.5</v>
      </c>
      <c r="BN73" s="13">
        <f t="shared" ref="BN73:BN75" si="184">AVERAGE(F73,R73,AD73,AP73,BB73)</f>
        <v>0.5</v>
      </c>
      <c r="BO73" s="13">
        <f t="shared" ref="BO73:BO75" si="185">AVERAGE(G73,S73,AE73,AQ73,BC73)</f>
        <v>0.5</v>
      </c>
      <c r="BP73" s="13">
        <f t="shared" ref="BP73:BP75" si="186">AVERAGE(H73,T73,AF73,AR73,BD73)</f>
        <v>0</v>
      </c>
      <c r="BQ73" s="13">
        <f t="shared" ref="BQ73:BQ75" si="187">AVERAGE(I73,U73,AG73,AS73,BE73)</f>
        <v>0</v>
      </c>
      <c r="BR73" s="13">
        <f t="shared" ref="BR73:BR75" si="188">AVERAGE(J73,V73,AH73,AT73,BF73)</f>
        <v>1.5</v>
      </c>
      <c r="BS73" s="13">
        <f>AVERAGE(K73,W73,AI73,AU73,BG73)</f>
        <v>0.5</v>
      </c>
      <c r="BT73">
        <f t="shared" ref="BT73" si="189">SUM(BL73:BS73)</f>
        <v>31</v>
      </c>
      <c r="BU73">
        <f>AVERAGE(L73,X73,AJ73,AV73,BH73)</f>
        <v>31</v>
      </c>
    </row>
    <row r="74" spans="2:73" ht="15.95">
      <c r="C74" s="5" t="s">
        <v>11</v>
      </c>
      <c r="D74" s="5">
        <v>17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11">
        <f t="shared" ref="L74:L75" si="190">SUM(D74:K74)</f>
        <v>17</v>
      </c>
      <c r="O74" s="5" t="s">
        <v>11</v>
      </c>
      <c r="P74" s="5">
        <v>13</v>
      </c>
      <c r="Q74" s="5">
        <v>0</v>
      </c>
      <c r="R74" s="5">
        <v>0</v>
      </c>
      <c r="S74" s="5">
        <v>0</v>
      </c>
      <c r="T74" s="5">
        <v>6</v>
      </c>
      <c r="U74" s="5">
        <v>0</v>
      </c>
      <c r="V74" s="5">
        <v>0</v>
      </c>
      <c r="W74" s="5">
        <v>0</v>
      </c>
      <c r="X74" s="11">
        <f t="shared" ref="X74:X75" si="191">SUM(P74:W74)</f>
        <v>19</v>
      </c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K74" s="13" t="s">
        <v>11</v>
      </c>
      <c r="BL74" s="13">
        <f t="shared" si="182"/>
        <v>15</v>
      </c>
      <c r="BM74" s="13">
        <f t="shared" si="183"/>
        <v>0</v>
      </c>
      <c r="BN74" s="13">
        <f t="shared" si="184"/>
        <v>0</v>
      </c>
      <c r="BO74" s="13">
        <f t="shared" si="185"/>
        <v>0</v>
      </c>
      <c r="BP74" s="13">
        <f t="shared" si="186"/>
        <v>3</v>
      </c>
      <c r="BQ74" s="13">
        <f t="shared" si="187"/>
        <v>0</v>
      </c>
      <c r="BR74" s="13">
        <f t="shared" si="188"/>
        <v>0</v>
      </c>
      <c r="BS74" s="13">
        <f t="shared" ref="BS74:BS75" si="192">AVERAGE(K74,W74,AI74,AU74,BG74)</f>
        <v>0</v>
      </c>
      <c r="BT74">
        <f t="shared" si="155"/>
        <v>18</v>
      </c>
      <c r="BU74">
        <f t="shared" ref="BU74:BU76" si="193">AVERAGE(L74,X74,AJ74,AV74,BH74)</f>
        <v>18</v>
      </c>
    </row>
    <row r="75" spans="2:73" ht="15.95">
      <c r="C75" t="s">
        <v>12</v>
      </c>
      <c r="D75">
        <v>13</v>
      </c>
      <c r="E75">
        <v>0</v>
      </c>
      <c r="F75">
        <v>0</v>
      </c>
      <c r="G75">
        <v>0</v>
      </c>
      <c r="H75">
        <v>15</v>
      </c>
      <c r="I75">
        <v>0</v>
      </c>
      <c r="J75">
        <v>0</v>
      </c>
      <c r="K75">
        <v>0</v>
      </c>
      <c r="L75" s="11">
        <f t="shared" si="190"/>
        <v>28</v>
      </c>
      <c r="O75" t="s">
        <v>12</v>
      </c>
      <c r="P75">
        <v>6</v>
      </c>
      <c r="Q75">
        <v>0</v>
      </c>
      <c r="R75">
        <v>0</v>
      </c>
      <c r="S75">
        <v>0</v>
      </c>
      <c r="T75">
        <v>9</v>
      </c>
      <c r="U75">
        <v>0</v>
      </c>
      <c r="V75">
        <v>0</v>
      </c>
      <c r="W75">
        <v>0</v>
      </c>
      <c r="X75" s="11">
        <f t="shared" si="191"/>
        <v>15</v>
      </c>
      <c r="BK75" t="s">
        <v>12</v>
      </c>
      <c r="BL75" s="13">
        <f t="shared" si="182"/>
        <v>9.5</v>
      </c>
      <c r="BM75" s="13">
        <f t="shared" si="183"/>
        <v>0</v>
      </c>
      <c r="BN75" s="13">
        <f t="shared" si="184"/>
        <v>0</v>
      </c>
      <c r="BO75" s="13">
        <f t="shared" si="185"/>
        <v>0</v>
      </c>
      <c r="BP75" s="13">
        <f t="shared" si="186"/>
        <v>12</v>
      </c>
      <c r="BQ75" s="13">
        <f t="shared" si="187"/>
        <v>0</v>
      </c>
      <c r="BR75" s="13">
        <f t="shared" si="188"/>
        <v>0</v>
      </c>
      <c r="BS75" s="13">
        <f t="shared" si="192"/>
        <v>0</v>
      </c>
      <c r="BT75">
        <f t="shared" si="155"/>
        <v>21.5</v>
      </c>
      <c r="BU75">
        <f t="shared" si="193"/>
        <v>21.5</v>
      </c>
    </row>
    <row r="76" spans="2:73" ht="15.95">
      <c r="L76" s="11">
        <f>SUM(L73:L75)</f>
        <v>85</v>
      </c>
      <c r="X76" s="11">
        <f>SUM(X73:X75)</f>
        <v>56</v>
      </c>
      <c r="BT76" s="13">
        <f t="shared" si="157"/>
        <v>70.5</v>
      </c>
      <c r="BU76">
        <f t="shared" si="193"/>
        <v>70.5</v>
      </c>
    </row>
    <row r="77" spans="2:73" ht="15.95">
      <c r="B77" t="s">
        <v>20</v>
      </c>
      <c r="C77" s="5" t="s">
        <v>109</v>
      </c>
      <c r="D77" t="s">
        <v>25</v>
      </c>
      <c r="E77" s="5" t="s">
        <v>14</v>
      </c>
      <c r="F77" t="s">
        <v>4</v>
      </c>
      <c r="G77" s="5" t="s">
        <v>5</v>
      </c>
      <c r="H77" s="5" t="s">
        <v>6</v>
      </c>
      <c r="I77" s="5" t="s">
        <v>7</v>
      </c>
      <c r="J77" s="5" t="s">
        <v>8</v>
      </c>
      <c r="K77" t="s">
        <v>93</v>
      </c>
      <c r="N77" t="s">
        <v>20</v>
      </c>
      <c r="O77" s="5" t="s">
        <v>109</v>
      </c>
      <c r="P77" t="s">
        <v>25</v>
      </c>
      <c r="Q77" s="5" t="s">
        <v>14</v>
      </c>
      <c r="R77" t="s">
        <v>4</v>
      </c>
      <c r="S77" s="5" t="s">
        <v>5</v>
      </c>
      <c r="T77" s="5" t="s">
        <v>6</v>
      </c>
      <c r="U77" s="5" t="s">
        <v>7</v>
      </c>
      <c r="V77" s="5" t="s">
        <v>8</v>
      </c>
      <c r="W77" t="s">
        <v>93</v>
      </c>
      <c r="BJ77" t="s">
        <v>26</v>
      </c>
      <c r="BK77" s="13" t="s">
        <v>109</v>
      </c>
      <c r="BL77" t="s">
        <v>25</v>
      </c>
      <c r="BM77" s="13" t="s">
        <v>14</v>
      </c>
      <c r="BN77" t="s">
        <v>4</v>
      </c>
      <c r="BO77" s="13" t="s">
        <v>5</v>
      </c>
      <c r="BP77" s="13" t="s">
        <v>6</v>
      </c>
      <c r="BQ77" s="13" t="s">
        <v>7</v>
      </c>
      <c r="BR77" s="13" t="s">
        <v>8</v>
      </c>
      <c r="BS77" t="s">
        <v>9</v>
      </c>
    </row>
    <row r="78" spans="2:73" ht="15.95">
      <c r="C78" s="5" t="s">
        <v>10</v>
      </c>
      <c r="D78" s="5">
        <v>59</v>
      </c>
      <c r="E78" s="5">
        <v>13</v>
      </c>
      <c r="F78" s="5">
        <v>3</v>
      </c>
      <c r="G78" s="5">
        <v>5</v>
      </c>
      <c r="H78" s="5">
        <v>3</v>
      </c>
      <c r="I78" s="5">
        <v>0</v>
      </c>
      <c r="J78" s="5">
        <v>2</v>
      </c>
      <c r="K78" s="5">
        <v>2</v>
      </c>
      <c r="L78" s="11">
        <f>SUM(D78:K78)</f>
        <v>87</v>
      </c>
      <c r="O78" s="5" t="s">
        <v>10</v>
      </c>
      <c r="P78" s="5">
        <v>55</v>
      </c>
      <c r="Q78" s="5">
        <v>15</v>
      </c>
      <c r="R78" s="5">
        <v>0</v>
      </c>
      <c r="S78" s="5">
        <v>6</v>
      </c>
      <c r="T78" s="5">
        <v>1</v>
      </c>
      <c r="U78" s="5">
        <v>0</v>
      </c>
      <c r="V78" s="5">
        <v>1</v>
      </c>
      <c r="W78" s="5">
        <v>0</v>
      </c>
      <c r="X78" s="11">
        <f>SUM(P78:W78)</f>
        <v>78</v>
      </c>
      <c r="BK78" s="13" t="s">
        <v>10</v>
      </c>
      <c r="BL78" s="13">
        <f t="shared" ref="BL78:BL80" si="194">AVERAGE(D78,P78,AB78,AN78,AZ78)</f>
        <v>57</v>
      </c>
      <c r="BM78" s="13">
        <f t="shared" ref="BM78:BM80" si="195">AVERAGE(E78,Q78,AC78,AO78,BA78)</f>
        <v>14</v>
      </c>
      <c r="BN78" s="13">
        <f t="shared" ref="BN78:BN80" si="196">AVERAGE(F78,R78,AD78,AP78,BB78)</f>
        <v>1.5</v>
      </c>
      <c r="BO78" s="13">
        <f t="shared" ref="BO78:BO80" si="197">AVERAGE(G78,S78,AE78,AQ78,BC78)</f>
        <v>5.5</v>
      </c>
      <c r="BP78" s="13">
        <f t="shared" ref="BP78:BP80" si="198">AVERAGE(H78,T78,AF78,AR78,BD78)</f>
        <v>2</v>
      </c>
      <c r="BQ78" s="13">
        <f t="shared" ref="BQ78:BQ80" si="199">AVERAGE(I78,U78,AG78,AS78,BE78)</f>
        <v>0</v>
      </c>
      <c r="BR78" s="13">
        <f t="shared" ref="BR78:BR80" si="200">AVERAGE(J78,V78,AH78,AT78,BF78)</f>
        <v>1.5</v>
      </c>
      <c r="BS78" s="13">
        <f t="shared" ref="BS78:BS80" si="201">AVERAGE(K78,W78,AI78,AU78,BG78)</f>
        <v>1</v>
      </c>
      <c r="BT78">
        <f t="shared" ref="BT78" si="202">SUM(BL78:BS78)</f>
        <v>82.5</v>
      </c>
      <c r="BU78">
        <f>AVERAGE(L78,X78,AJ78,AV78,BH78)</f>
        <v>82.5</v>
      </c>
    </row>
    <row r="79" spans="2:73" ht="15.95">
      <c r="C79" s="5" t="s">
        <v>11</v>
      </c>
      <c r="D79" s="5">
        <v>12</v>
      </c>
      <c r="E79" s="5">
        <v>0</v>
      </c>
      <c r="F79" s="5">
        <v>0</v>
      </c>
      <c r="G79" s="5">
        <v>1</v>
      </c>
      <c r="H79" s="5">
        <v>4</v>
      </c>
      <c r="I79" s="5">
        <v>0</v>
      </c>
      <c r="J79" s="5">
        <v>0</v>
      </c>
      <c r="K79" s="5">
        <v>0</v>
      </c>
      <c r="L79" s="11">
        <f t="shared" ref="L79:L80" si="203">SUM(D79:K79)</f>
        <v>17</v>
      </c>
      <c r="O79" s="5" t="s">
        <v>11</v>
      </c>
      <c r="P79" s="5">
        <v>13</v>
      </c>
      <c r="Q79" s="5">
        <v>0</v>
      </c>
      <c r="R79" s="5">
        <v>0</v>
      </c>
      <c r="S79" s="5">
        <v>0</v>
      </c>
      <c r="T79" s="5">
        <v>6</v>
      </c>
      <c r="U79" s="5">
        <v>0</v>
      </c>
      <c r="V79" s="5">
        <v>0</v>
      </c>
      <c r="W79" s="5">
        <v>0</v>
      </c>
      <c r="X79" s="11">
        <f t="shared" ref="X79:X80" si="204">SUM(P79:W79)</f>
        <v>19</v>
      </c>
      <c r="BK79" s="13" t="s">
        <v>11</v>
      </c>
      <c r="BL79" s="13">
        <f t="shared" si="194"/>
        <v>12.5</v>
      </c>
      <c r="BM79" s="13">
        <f t="shared" si="195"/>
        <v>0</v>
      </c>
      <c r="BN79" s="13">
        <f t="shared" si="196"/>
        <v>0</v>
      </c>
      <c r="BO79" s="13">
        <f t="shared" si="197"/>
        <v>0.5</v>
      </c>
      <c r="BP79" s="13">
        <f t="shared" si="198"/>
        <v>5</v>
      </c>
      <c r="BQ79" s="13">
        <f t="shared" si="199"/>
        <v>0</v>
      </c>
      <c r="BR79" s="13">
        <f t="shared" si="200"/>
        <v>0</v>
      </c>
      <c r="BS79" s="13">
        <f t="shared" si="201"/>
        <v>0</v>
      </c>
      <c r="BT79">
        <f t="shared" si="155"/>
        <v>18</v>
      </c>
      <c r="BU79">
        <f t="shared" ref="BU79:BU81" si="205">AVERAGE(L79,X79,AJ79,AV79,BH79)</f>
        <v>18</v>
      </c>
    </row>
    <row r="80" spans="2:73" ht="15.95">
      <c r="C80" t="s">
        <v>12</v>
      </c>
      <c r="D80">
        <v>5</v>
      </c>
      <c r="E80">
        <v>0</v>
      </c>
      <c r="F80">
        <v>0</v>
      </c>
      <c r="G80">
        <v>0</v>
      </c>
      <c r="H80">
        <v>5</v>
      </c>
      <c r="I80">
        <v>0</v>
      </c>
      <c r="J80">
        <v>0</v>
      </c>
      <c r="K80">
        <v>0</v>
      </c>
      <c r="L80" s="11">
        <f t="shared" si="203"/>
        <v>10</v>
      </c>
      <c r="O80" t="s">
        <v>12</v>
      </c>
      <c r="P80">
        <v>6</v>
      </c>
      <c r="Q80">
        <v>0</v>
      </c>
      <c r="R80">
        <v>0</v>
      </c>
      <c r="S80">
        <v>0</v>
      </c>
      <c r="T80">
        <v>3</v>
      </c>
      <c r="U80">
        <v>0</v>
      </c>
      <c r="V80">
        <v>0</v>
      </c>
      <c r="W80">
        <v>0</v>
      </c>
      <c r="X80" s="11">
        <f t="shared" si="204"/>
        <v>9</v>
      </c>
      <c r="BK80" t="s">
        <v>12</v>
      </c>
      <c r="BL80" s="13">
        <f t="shared" si="194"/>
        <v>5.5</v>
      </c>
      <c r="BM80" s="13">
        <f t="shared" si="195"/>
        <v>0</v>
      </c>
      <c r="BN80" s="13">
        <f t="shared" si="196"/>
        <v>0</v>
      </c>
      <c r="BO80" s="13">
        <f t="shared" si="197"/>
        <v>0</v>
      </c>
      <c r="BP80" s="13">
        <f t="shared" si="198"/>
        <v>4</v>
      </c>
      <c r="BQ80" s="13">
        <f t="shared" si="199"/>
        <v>0</v>
      </c>
      <c r="BR80" s="13">
        <f t="shared" si="200"/>
        <v>0</v>
      </c>
      <c r="BS80" s="13">
        <f t="shared" si="201"/>
        <v>0</v>
      </c>
      <c r="BT80">
        <f t="shared" si="155"/>
        <v>9.5</v>
      </c>
      <c r="BU80">
        <f t="shared" si="205"/>
        <v>9.5</v>
      </c>
    </row>
    <row r="81" spans="12:73" ht="15.95">
      <c r="L81" s="11">
        <f>SUM(L78:L80)</f>
        <v>114</v>
      </c>
      <c r="X81" s="11">
        <f>SUM(X78:X80)</f>
        <v>106</v>
      </c>
      <c r="BT81" s="13">
        <f t="shared" si="157"/>
        <v>110</v>
      </c>
      <c r="BU81">
        <f t="shared" si="205"/>
        <v>110</v>
      </c>
    </row>
    <row r="82" spans="12:73" ht="15.95">
      <c r="BJ82" t="s">
        <v>26</v>
      </c>
      <c r="BK82" s="13" t="s">
        <v>110</v>
      </c>
      <c r="BL82" t="s">
        <v>25</v>
      </c>
      <c r="BM82" s="13" t="s">
        <v>14</v>
      </c>
      <c r="BN82" t="s">
        <v>4</v>
      </c>
      <c r="BO82" s="13" t="s">
        <v>5</v>
      </c>
      <c r="BP82" s="13" t="s">
        <v>6</v>
      </c>
      <c r="BQ82" s="13" t="s">
        <v>7</v>
      </c>
      <c r="BR82" s="13" t="s">
        <v>8</v>
      </c>
      <c r="BS82" t="s">
        <v>9</v>
      </c>
    </row>
    <row r="83" spans="12:73" ht="15.95">
      <c r="BK83" s="13" t="s">
        <v>10</v>
      </c>
      <c r="BL83" s="13"/>
      <c r="BM83" s="13"/>
      <c r="BN83" s="13"/>
      <c r="BO83" s="13"/>
      <c r="BP83" s="13"/>
      <c r="BQ83" s="13"/>
      <c r="BR83" s="13"/>
      <c r="BS83" s="13"/>
    </row>
    <row r="84" spans="12:73" ht="15.95">
      <c r="BK84" s="13" t="s">
        <v>11</v>
      </c>
      <c r="BL84" s="13"/>
      <c r="BM84" s="13"/>
      <c r="BN84" s="13"/>
      <c r="BO84" s="13"/>
      <c r="BP84" s="13"/>
      <c r="BQ84" s="13"/>
      <c r="BR84" s="13"/>
      <c r="BS84" s="13"/>
    </row>
    <row r="85" spans="12:73" ht="15.95">
      <c r="BK85" t="s">
        <v>12</v>
      </c>
      <c r="BL85" s="13"/>
      <c r="BM85" s="13"/>
      <c r="BN85" s="13"/>
      <c r="BO85" s="13"/>
      <c r="BP85" s="13"/>
      <c r="BQ85" s="13"/>
      <c r="BR85" s="13"/>
      <c r="BS85" s="13"/>
    </row>
    <row r="86" spans="12:73" ht="15.95">
      <c r="BT86" s="13"/>
    </row>
    <row r="87" spans="12:73" ht="15.95">
      <c r="BJ87" t="s">
        <v>26</v>
      </c>
      <c r="BK87" s="13" t="s">
        <v>111</v>
      </c>
      <c r="BL87" t="s">
        <v>25</v>
      </c>
      <c r="BM87" s="13" t="s">
        <v>14</v>
      </c>
      <c r="BN87" t="s">
        <v>4</v>
      </c>
      <c r="BO87" s="13" t="s">
        <v>5</v>
      </c>
      <c r="BP87" s="13" t="s">
        <v>6</v>
      </c>
      <c r="BQ87" s="13" t="s">
        <v>7</v>
      </c>
      <c r="BR87" s="13" t="s">
        <v>8</v>
      </c>
      <c r="BS87" t="s">
        <v>9</v>
      </c>
    </row>
    <row r="88" spans="12:73" ht="15.95">
      <c r="BK88" s="13" t="s">
        <v>10</v>
      </c>
      <c r="BL88" s="13"/>
      <c r="BM88" s="13"/>
      <c r="BN88" s="13"/>
      <c r="BO88" s="13"/>
      <c r="BP88" s="13"/>
      <c r="BQ88" s="13"/>
      <c r="BR88" s="13"/>
      <c r="BS88" s="13"/>
    </row>
    <row r="89" spans="12:73" ht="15.95">
      <c r="BK89" s="13" t="s">
        <v>11</v>
      </c>
      <c r="BL89" s="13"/>
      <c r="BM89" s="13"/>
      <c r="BN89" s="13"/>
      <c r="BO89" s="13"/>
      <c r="BP89" s="13"/>
      <c r="BQ89" s="13"/>
      <c r="BR89" s="13"/>
      <c r="BS89" s="13"/>
    </row>
    <row r="90" spans="12:73" ht="15.95">
      <c r="BK90" t="s">
        <v>12</v>
      </c>
      <c r="BL90" s="13"/>
      <c r="BM90" s="13"/>
      <c r="BN90" s="13"/>
      <c r="BO90" s="13"/>
      <c r="BP90" s="13"/>
      <c r="BQ90" s="13"/>
      <c r="BR90" s="13"/>
      <c r="BS90" s="13"/>
    </row>
    <row r="91" spans="12:73" ht="15.95">
      <c r="BT91" s="13"/>
    </row>
    <row r="92" spans="12:73" ht="15.95">
      <c r="N92" t="s">
        <v>0</v>
      </c>
      <c r="O92" t="s">
        <v>112</v>
      </c>
      <c r="P92" t="s">
        <v>25</v>
      </c>
      <c r="Q92" t="s">
        <v>3</v>
      </c>
      <c r="R92" t="s">
        <v>4</v>
      </c>
      <c r="S92" t="s">
        <v>5</v>
      </c>
      <c r="T92" t="s">
        <v>6</v>
      </c>
      <c r="U92" t="s">
        <v>7</v>
      </c>
      <c r="V92" t="s">
        <v>8</v>
      </c>
      <c r="W92" t="s">
        <v>9</v>
      </c>
      <c r="BJ92" t="s">
        <v>26</v>
      </c>
      <c r="BK92" s="13" t="s">
        <v>112</v>
      </c>
      <c r="BL92" t="s">
        <v>25</v>
      </c>
      <c r="BM92" s="13" t="s">
        <v>14</v>
      </c>
      <c r="BN92" t="s">
        <v>4</v>
      </c>
      <c r="BO92" s="13" t="s">
        <v>5</v>
      </c>
      <c r="BP92" s="13" t="s">
        <v>6</v>
      </c>
      <c r="BQ92" s="13" t="s">
        <v>7</v>
      </c>
      <c r="BR92" s="13" t="s">
        <v>8</v>
      </c>
      <c r="BS92" t="s">
        <v>9</v>
      </c>
    </row>
    <row r="93" spans="12:73" ht="15.95">
      <c r="O93" t="s">
        <v>10</v>
      </c>
      <c r="P93">
        <v>0</v>
      </c>
      <c r="Q93">
        <v>1</v>
      </c>
      <c r="R93">
        <v>0</v>
      </c>
      <c r="S93">
        <v>3</v>
      </c>
      <c r="T93">
        <v>0</v>
      </c>
      <c r="U93">
        <v>0</v>
      </c>
      <c r="V93">
        <v>1</v>
      </c>
      <c r="W93">
        <v>0</v>
      </c>
      <c r="X93">
        <f>SUM(P93:W93)</f>
        <v>5</v>
      </c>
      <c r="BK93" s="13" t="s">
        <v>10</v>
      </c>
      <c r="BL93" s="13">
        <f t="shared" ref="BL93:BL95" si="206">AVERAGE(D93,P93,AB93,AN93,AZ93)</f>
        <v>0</v>
      </c>
      <c r="BM93" s="13">
        <f t="shared" ref="BM93:BM95" si="207">AVERAGE(E93,Q93,AC93,AO93,BA93)</f>
        <v>1</v>
      </c>
      <c r="BN93" s="13">
        <f t="shared" ref="BN93:BN94" si="208">AVERAGE(F93,R93,AD93,AP93,BB93)</f>
        <v>0</v>
      </c>
      <c r="BO93" s="13">
        <f t="shared" ref="BO93:BO95" si="209">AVERAGE(G93,S93,AE93,AQ93,BC93)</f>
        <v>3</v>
      </c>
      <c r="BP93" s="13">
        <f t="shared" ref="BP93:BP95" si="210">AVERAGE(H93,T93,AF93,AR93,BD93)</f>
        <v>0</v>
      </c>
      <c r="BQ93" s="13">
        <f t="shared" ref="BQ93:BQ95" si="211">AVERAGE(I93,U93,AG93,AS93,BE93)</f>
        <v>0</v>
      </c>
      <c r="BR93" s="13">
        <f t="shared" ref="BR93:BR95" si="212">AVERAGE(J93,V93,AH93,AT93,BF93)</f>
        <v>1</v>
      </c>
      <c r="BS93" s="13">
        <f t="shared" ref="BS93:BS95" si="213">AVERAGE(K93,W93,AI93,AU93,BG93)</f>
        <v>0</v>
      </c>
      <c r="BT93">
        <f t="shared" ref="BT93:BT95" si="214">SUM(BL93:BS93)</f>
        <v>5</v>
      </c>
      <c r="BU93">
        <f>AVERAGE(L93,X93,AJ93,AV93,BH93)</f>
        <v>5</v>
      </c>
    </row>
    <row r="94" spans="12:73" ht="15.95">
      <c r="O94" t="s">
        <v>11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f>SUM(P94:W94)</f>
        <v>2</v>
      </c>
      <c r="BK94" s="13" t="s">
        <v>11</v>
      </c>
      <c r="BL94" s="13">
        <f t="shared" si="206"/>
        <v>2</v>
      </c>
      <c r="BM94" s="13">
        <f t="shared" si="207"/>
        <v>0</v>
      </c>
      <c r="BN94" s="13">
        <f t="shared" si="208"/>
        <v>0</v>
      </c>
      <c r="BO94" s="13">
        <f t="shared" si="209"/>
        <v>0</v>
      </c>
      <c r="BP94" s="13">
        <f t="shared" si="210"/>
        <v>0</v>
      </c>
      <c r="BQ94" s="13">
        <f t="shared" si="211"/>
        <v>0</v>
      </c>
      <c r="BR94" s="13">
        <f t="shared" si="212"/>
        <v>0</v>
      </c>
      <c r="BS94" s="13">
        <f t="shared" si="213"/>
        <v>0</v>
      </c>
      <c r="BT94">
        <f t="shared" si="214"/>
        <v>2</v>
      </c>
      <c r="BU94">
        <f t="shared" ref="BU94:BU96" si="215">AVERAGE(L94,X94,AJ94,AV94,BH94)</f>
        <v>2</v>
      </c>
    </row>
    <row r="95" spans="12:73" ht="15.95">
      <c r="X95">
        <f>X93+X94</f>
        <v>7</v>
      </c>
      <c r="BK95" t="s">
        <v>12</v>
      </c>
      <c r="BL95" s="13" t="e">
        <f t="shared" si="206"/>
        <v>#DIV/0!</v>
      </c>
      <c r="BM95" s="13" t="e">
        <f t="shared" si="207"/>
        <v>#DIV/0!</v>
      </c>
      <c r="BN95" s="13" t="e">
        <f>AVERAGE(F95,R95,AD95,AP95,BB95)</f>
        <v>#DIV/0!</v>
      </c>
      <c r="BO95" s="13" t="e">
        <f t="shared" si="209"/>
        <v>#DIV/0!</v>
      </c>
      <c r="BP95" s="13" t="e">
        <f t="shared" si="210"/>
        <v>#DIV/0!</v>
      </c>
      <c r="BQ95" s="13" t="e">
        <f t="shared" si="211"/>
        <v>#DIV/0!</v>
      </c>
      <c r="BR95" s="13" t="e">
        <f t="shared" si="212"/>
        <v>#DIV/0!</v>
      </c>
      <c r="BS95" s="13" t="e">
        <f t="shared" si="213"/>
        <v>#DIV/0!</v>
      </c>
      <c r="BT95" t="e">
        <f t="shared" si="214"/>
        <v>#DIV/0!</v>
      </c>
      <c r="BU95">
        <f t="shared" si="215"/>
        <v>7</v>
      </c>
    </row>
    <row r="96" spans="12:73" ht="15.95">
      <c r="BT96" s="13" t="e">
        <f t="shared" si="157"/>
        <v>#DIV/0!</v>
      </c>
      <c r="BU96" t="e">
        <f t="shared" si="215"/>
        <v>#DIV/0!</v>
      </c>
    </row>
    <row r="97" spans="14:73" ht="15.95">
      <c r="N97" t="s">
        <v>0</v>
      </c>
      <c r="O97" t="s">
        <v>113</v>
      </c>
      <c r="P97" t="s">
        <v>25</v>
      </c>
      <c r="Q97" t="s">
        <v>3</v>
      </c>
      <c r="R97" t="s">
        <v>4</v>
      </c>
      <c r="S97" t="s">
        <v>5</v>
      </c>
      <c r="T97" t="s">
        <v>6</v>
      </c>
      <c r="U97" t="s">
        <v>7</v>
      </c>
      <c r="V97" t="s">
        <v>8</v>
      </c>
      <c r="W97" t="s">
        <v>9</v>
      </c>
      <c r="BJ97" t="s">
        <v>26</v>
      </c>
      <c r="BK97" t="s">
        <v>113</v>
      </c>
      <c r="BL97" t="s">
        <v>25</v>
      </c>
      <c r="BM97" s="13" t="s">
        <v>14</v>
      </c>
      <c r="BN97" t="s">
        <v>4</v>
      </c>
      <c r="BO97" s="13" t="s">
        <v>5</v>
      </c>
      <c r="BP97" s="13" t="s">
        <v>6</v>
      </c>
      <c r="BQ97" s="13" t="s">
        <v>7</v>
      </c>
      <c r="BR97" s="13" t="s">
        <v>8</v>
      </c>
      <c r="BS97" t="s">
        <v>9</v>
      </c>
    </row>
    <row r="98" spans="14:73" ht="15.95">
      <c r="O98" t="s">
        <v>10</v>
      </c>
      <c r="P98">
        <v>4</v>
      </c>
      <c r="Q98">
        <v>1</v>
      </c>
      <c r="R98">
        <v>0</v>
      </c>
      <c r="S98">
        <v>2</v>
      </c>
      <c r="T98">
        <v>0</v>
      </c>
      <c r="U98">
        <v>0</v>
      </c>
      <c r="V98">
        <v>3</v>
      </c>
      <c r="W98">
        <v>3</v>
      </c>
      <c r="X98">
        <f>SUM(P98:W98)</f>
        <v>13</v>
      </c>
      <c r="BK98" t="s">
        <v>10</v>
      </c>
      <c r="BL98" s="13">
        <f t="shared" ref="BL98:BL100" si="216">AVERAGE(D98,P98,AB98,AN98,AZ98)</f>
        <v>4</v>
      </c>
      <c r="BM98" s="13">
        <f t="shared" ref="BM98:BM100" si="217">AVERAGE(E98,Q98,AC98,AO98,BA98)</f>
        <v>1</v>
      </c>
      <c r="BN98" s="13">
        <f t="shared" ref="BN98:BN100" si="218">AVERAGE(F98,R98,AD98,AP98,BB98)</f>
        <v>0</v>
      </c>
      <c r="BO98" s="13">
        <f t="shared" ref="BO98:BO100" si="219">AVERAGE(G98,S98,AE98,AQ98,BC98)</f>
        <v>2</v>
      </c>
      <c r="BP98" s="13">
        <f t="shared" ref="BP98:BP100" si="220">AVERAGE(H98,T98,AF98,AR98,BD98)</f>
        <v>0</v>
      </c>
      <c r="BQ98" s="13">
        <f t="shared" ref="BQ98:BQ100" si="221">AVERAGE(I98,U98,AG98,AS98,BE98)</f>
        <v>0</v>
      </c>
      <c r="BR98" s="13">
        <f t="shared" ref="BR98:BR100" si="222">AVERAGE(J98,V98,AH98,AT98,BF98)</f>
        <v>3</v>
      </c>
      <c r="BS98" s="13">
        <f t="shared" ref="BS98:BS100" si="223">AVERAGE(K98,W98,AI98,AU98,BG98)</f>
        <v>3</v>
      </c>
      <c r="BT98">
        <f t="shared" ref="BT98:BT100" si="224">SUM(BL98:BS98)</f>
        <v>13</v>
      </c>
      <c r="BU98">
        <f>AVERAGE(L98,X98,AJ98,AV98,BH98)</f>
        <v>13</v>
      </c>
    </row>
    <row r="99" spans="14:73" ht="15.95">
      <c r="O99" t="s">
        <v>11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f>SUM(P99:W99)</f>
        <v>2</v>
      </c>
      <c r="BK99" t="s">
        <v>11</v>
      </c>
      <c r="BL99" s="13">
        <f t="shared" si="216"/>
        <v>0</v>
      </c>
      <c r="BM99" s="13">
        <f t="shared" si="217"/>
        <v>1</v>
      </c>
      <c r="BN99" s="13">
        <f t="shared" si="218"/>
        <v>0</v>
      </c>
      <c r="BO99" s="13">
        <f t="shared" si="219"/>
        <v>1</v>
      </c>
      <c r="BP99" s="13">
        <f t="shared" si="220"/>
        <v>0</v>
      </c>
      <c r="BQ99" s="13">
        <f t="shared" si="221"/>
        <v>0</v>
      </c>
      <c r="BR99" s="13">
        <f t="shared" si="222"/>
        <v>0</v>
      </c>
      <c r="BS99" s="13">
        <f t="shared" si="223"/>
        <v>0</v>
      </c>
      <c r="BT99">
        <f t="shared" si="224"/>
        <v>2</v>
      </c>
      <c r="BU99">
        <f t="shared" ref="BU99:BU101" si="225">AVERAGE(L99,X99,AJ99,AV99,BH99)</f>
        <v>2</v>
      </c>
    </row>
    <row r="100" spans="14:73" ht="15.95">
      <c r="X100">
        <f>X98+X99</f>
        <v>15</v>
      </c>
      <c r="BL100" s="13" t="e">
        <f t="shared" si="216"/>
        <v>#DIV/0!</v>
      </c>
      <c r="BM100" s="13" t="e">
        <f t="shared" si="217"/>
        <v>#DIV/0!</v>
      </c>
      <c r="BN100" s="13" t="e">
        <f t="shared" si="218"/>
        <v>#DIV/0!</v>
      </c>
      <c r="BO100" s="13" t="e">
        <f t="shared" si="219"/>
        <v>#DIV/0!</v>
      </c>
      <c r="BP100" s="13" t="e">
        <f t="shared" si="220"/>
        <v>#DIV/0!</v>
      </c>
      <c r="BQ100" s="13" t="e">
        <f t="shared" si="221"/>
        <v>#DIV/0!</v>
      </c>
      <c r="BR100" s="13" t="e">
        <f t="shared" si="222"/>
        <v>#DIV/0!</v>
      </c>
      <c r="BS100" s="13" t="e">
        <f t="shared" si="223"/>
        <v>#DIV/0!</v>
      </c>
      <c r="BT100" t="e">
        <f t="shared" si="224"/>
        <v>#DIV/0!</v>
      </c>
      <c r="BU100">
        <f t="shared" si="225"/>
        <v>15</v>
      </c>
    </row>
    <row r="101" spans="14:73" ht="15.95">
      <c r="BT101" s="13" t="e">
        <f t="shared" si="157"/>
        <v>#DIV/0!</v>
      </c>
      <c r="BU101" t="e">
        <f t="shared" si="225"/>
        <v>#DIV/0!</v>
      </c>
    </row>
    <row r="102" spans="14:73" ht="15.95">
      <c r="N102" t="s">
        <v>0</v>
      </c>
      <c r="O102" t="s">
        <v>114</v>
      </c>
      <c r="P102" t="s">
        <v>25</v>
      </c>
      <c r="Q102" t="s">
        <v>3</v>
      </c>
      <c r="R102" t="s">
        <v>4</v>
      </c>
      <c r="S102" t="s">
        <v>5</v>
      </c>
      <c r="T102" t="s">
        <v>6</v>
      </c>
      <c r="U102" t="s">
        <v>7</v>
      </c>
      <c r="V102" t="s">
        <v>8</v>
      </c>
      <c r="W102" t="s">
        <v>9</v>
      </c>
      <c r="Z102" t="s">
        <v>13</v>
      </c>
      <c r="AA102" t="s">
        <v>114</v>
      </c>
      <c r="AB102" t="s">
        <v>25</v>
      </c>
      <c r="AC102" t="s">
        <v>14</v>
      </c>
      <c r="AD102" t="s">
        <v>4</v>
      </c>
      <c r="AE102" t="s">
        <v>5</v>
      </c>
      <c r="AF102" t="s">
        <v>6</v>
      </c>
      <c r="AG102" t="s">
        <v>7</v>
      </c>
      <c r="AH102" t="s">
        <v>8</v>
      </c>
      <c r="AI102" t="s">
        <v>9</v>
      </c>
      <c r="BJ102" t="s">
        <v>26</v>
      </c>
      <c r="BK102" t="s">
        <v>114</v>
      </c>
      <c r="BL102" t="s">
        <v>25</v>
      </c>
      <c r="BM102" s="13" t="s">
        <v>14</v>
      </c>
      <c r="BN102" t="s">
        <v>4</v>
      </c>
      <c r="BO102" s="13" t="s">
        <v>5</v>
      </c>
      <c r="BP102" s="13" t="s">
        <v>6</v>
      </c>
      <c r="BQ102" s="13" t="s">
        <v>7</v>
      </c>
      <c r="BR102" s="13" t="s">
        <v>8</v>
      </c>
      <c r="BS102" t="s">
        <v>9</v>
      </c>
    </row>
    <row r="103" spans="14:73" ht="15.95">
      <c r="O103" t="s">
        <v>10</v>
      </c>
      <c r="P103">
        <v>5</v>
      </c>
      <c r="Q103">
        <v>2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f>SUM(P103:W103)</f>
        <v>9</v>
      </c>
      <c r="AA103" t="s">
        <v>10</v>
      </c>
      <c r="AB103">
        <v>19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f>SUM(AB103:AI103)</f>
        <v>21</v>
      </c>
      <c r="BK103" t="s">
        <v>10</v>
      </c>
      <c r="BL103" s="13">
        <f t="shared" ref="BL103:BL105" si="226">AVERAGE(D103,P103,AB103,AN103,AZ103)</f>
        <v>12</v>
      </c>
      <c r="BM103" s="13">
        <f t="shared" ref="BM103:BM105" si="227">AVERAGE(E103,Q103,AC103,AO103,BA103)</f>
        <v>1.5</v>
      </c>
      <c r="BN103" s="13">
        <f t="shared" ref="BN103:BN105" si="228">AVERAGE(F103,R103,AD103,AP103,BB103)</f>
        <v>0</v>
      </c>
      <c r="BO103" s="13">
        <f t="shared" ref="BO103:BO105" si="229">AVERAGE(G103,S103,AE103,AQ103,BC103)</f>
        <v>1</v>
      </c>
      <c r="BP103" s="13">
        <f t="shared" ref="BP103:BP105" si="230">AVERAGE(H103,T103,AF103,AR103,BD103)</f>
        <v>0.5</v>
      </c>
      <c r="BQ103" s="13">
        <f t="shared" ref="BQ103:BQ105" si="231">AVERAGE(I103,U103,AG103,AS103,BE103)</f>
        <v>0</v>
      </c>
      <c r="BR103" s="13">
        <f t="shared" ref="BR103:BR105" si="232">AVERAGE(J103,V103,AH103,AT103,BF103)</f>
        <v>0</v>
      </c>
      <c r="BS103" s="13">
        <f t="shared" ref="BS103:BS105" si="233">AVERAGE(K103,W103,AI103,AU103,BG103)</f>
        <v>0</v>
      </c>
      <c r="BT103">
        <f t="shared" ref="BT103:BT105" si="234">SUM(BL103:BS103)</f>
        <v>15</v>
      </c>
      <c r="BU103">
        <f>AVERAGE(L103,X103,AJ103,AV103,BH103)</f>
        <v>15</v>
      </c>
    </row>
    <row r="104" spans="14:73" ht="15.95">
      <c r="O104" t="s">
        <v>11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f>SUM(P104:W104)</f>
        <v>1</v>
      </c>
      <c r="AA104" t="s">
        <v>11</v>
      </c>
      <c r="AB104">
        <v>2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f t="shared" ref="AJ104" si="235">SUM(AB104:AI104)</f>
        <v>3</v>
      </c>
      <c r="BK104" t="s">
        <v>11</v>
      </c>
      <c r="BL104" s="13">
        <f t="shared" si="226"/>
        <v>1.5</v>
      </c>
      <c r="BM104" s="13">
        <f t="shared" si="227"/>
        <v>0</v>
      </c>
      <c r="BN104" s="13">
        <f t="shared" si="228"/>
        <v>0</v>
      </c>
      <c r="BO104" s="13">
        <f t="shared" si="229"/>
        <v>0</v>
      </c>
      <c r="BP104" s="13">
        <f t="shared" si="230"/>
        <v>0.5</v>
      </c>
      <c r="BQ104" s="13">
        <f t="shared" si="231"/>
        <v>0</v>
      </c>
      <c r="BR104" s="13">
        <f t="shared" si="232"/>
        <v>0</v>
      </c>
      <c r="BS104" s="13">
        <f t="shared" si="233"/>
        <v>0</v>
      </c>
      <c r="BT104">
        <f t="shared" si="234"/>
        <v>2</v>
      </c>
      <c r="BU104">
        <f t="shared" ref="BU104" si="236">AVERAGE(L104,X104,AJ104,AV104,BH104)</f>
        <v>2</v>
      </c>
    </row>
    <row r="105" spans="14:73" ht="15.95">
      <c r="X105">
        <f>X103+X104</f>
        <v>10</v>
      </c>
      <c r="AA105" t="s">
        <v>12</v>
      </c>
      <c r="BL105" s="13" t="e">
        <f t="shared" si="226"/>
        <v>#DIV/0!</v>
      </c>
      <c r="BM105" s="13" t="e">
        <f t="shared" si="227"/>
        <v>#DIV/0!</v>
      </c>
      <c r="BN105" s="13" t="e">
        <f t="shared" si="228"/>
        <v>#DIV/0!</v>
      </c>
      <c r="BO105" s="13" t="e">
        <f t="shared" si="229"/>
        <v>#DIV/0!</v>
      </c>
      <c r="BP105" s="13" t="e">
        <f t="shared" si="230"/>
        <v>#DIV/0!</v>
      </c>
      <c r="BQ105" s="13" t="e">
        <f t="shared" si="231"/>
        <v>#DIV/0!</v>
      </c>
      <c r="BR105" s="13" t="e">
        <f t="shared" si="232"/>
        <v>#DIV/0!</v>
      </c>
      <c r="BS105" s="13" t="e">
        <f t="shared" si="233"/>
        <v>#DIV/0!</v>
      </c>
      <c r="BT105" t="e">
        <f t="shared" si="234"/>
        <v>#DIV/0!</v>
      </c>
    </row>
    <row r="106" spans="14:73" ht="15.95">
      <c r="AJ106">
        <f>SUM(AJ103:AJ105)</f>
        <v>24</v>
      </c>
      <c r="BT106" s="13" t="e">
        <f t="shared" si="157"/>
        <v>#DIV/0!</v>
      </c>
    </row>
    <row r="107" spans="14:73" ht="15.95">
      <c r="N107" t="s">
        <v>0</v>
      </c>
      <c r="O107" t="s">
        <v>115</v>
      </c>
      <c r="P107" t="s">
        <v>25</v>
      </c>
      <c r="Q107" t="s">
        <v>3</v>
      </c>
      <c r="R107" t="s">
        <v>4</v>
      </c>
      <c r="S107" t="s">
        <v>5</v>
      </c>
      <c r="T107" t="s">
        <v>6</v>
      </c>
      <c r="U107" t="s">
        <v>7</v>
      </c>
      <c r="V107" t="s">
        <v>8</v>
      </c>
      <c r="W107" t="s">
        <v>9</v>
      </c>
      <c r="Z107" t="s">
        <v>13</v>
      </c>
      <c r="AA107" s="5" t="s">
        <v>115</v>
      </c>
      <c r="AB107" t="s">
        <v>25</v>
      </c>
      <c r="AC107" s="5" t="s">
        <v>14</v>
      </c>
      <c r="AD107" t="s">
        <v>4</v>
      </c>
      <c r="AE107" s="5" t="s">
        <v>5</v>
      </c>
      <c r="AF107" s="5" t="s">
        <v>6</v>
      </c>
      <c r="AG107" s="5" t="s">
        <v>7</v>
      </c>
      <c r="AH107" s="5" t="s">
        <v>8</v>
      </c>
      <c r="AI107" t="s">
        <v>9</v>
      </c>
      <c r="BJ107" t="s">
        <v>26</v>
      </c>
      <c r="BK107" t="s">
        <v>115</v>
      </c>
      <c r="BL107" t="s">
        <v>25</v>
      </c>
      <c r="BM107" s="13" t="s">
        <v>14</v>
      </c>
      <c r="BN107" t="s">
        <v>4</v>
      </c>
      <c r="BO107" s="13" t="s">
        <v>5</v>
      </c>
      <c r="BP107" s="13" t="s">
        <v>6</v>
      </c>
      <c r="BQ107" s="13" t="s">
        <v>7</v>
      </c>
      <c r="BR107" s="13" t="s">
        <v>8</v>
      </c>
      <c r="BS107" t="s">
        <v>9</v>
      </c>
    </row>
    <row r="108" spans="14:73" ht="15.95">
      <c r="O108" t="s">
        <v>10</v>
      </c>
      <c r="P108">
        <v>17</v>
      </c>
      <c r="Q108">
        <v>1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f>SUM(P108:W108)</f>
        <v>20</v>
      </c>
      <c r="AA108" s="5" t="s">
        <v>10</v>
      </c>
      <c r="AB108" s="5">
        <v>2</v>
      </c>
      <c r="AC108" s="5">
        <v>1</v>
      </c>
      <c r="AD108" s="5">
        <v>2</v>
      </c>
      <c r="AE108" s="5">
        <v>1</v>
      </c>
      <c r="AF108" s="5">
        <v>0</v>
      </c>
      <c r="AG108" s="5">
        <v>0</v>
      </c>
      <c r="AH108" s="5">
        <v>0</v>
      </c>
      <c r="AI108" s="5">
        <v>0</v>
      </c>
      <c r="AJ108">
        <f>SUM(AB108:AI108)</f>
        <v>6</v>
      </c>
      <c r="BK108" t="s">
        <v>10</v>
      </c>
      <c r="BL108" s="13">
        <f t="shared" ref="BL108:BL110" si="237">AVERAGE(D108,P108,AB108,AN108,AZ108)</f>
        <v>9.5</v>
      </c>
      <c r="BM108" s="13">
        <f t="shared" ref="BM108:BM110" si="238">AVERAGE(E108,Q108,AC108,AO108,BA108)</f>
        <v>1</v>
      </c>
      <c r="BN108" s="13">
        <f t="shared" ref="BN108:BN110" si="239">AVERAGE(F108,R108,AD108,AP108,BB108)</f>
        <v>1</v>
      </c>
      <c r="BO108" s="13">
        <f t="shared" ref="BO108:BO110" si="240">AVERAGE(G108,S108,AE108,AQ108,BC108)</f>
        <v>1.5</v>
      </c>
      <c r="BP108" s="13">
        <f t="shared" ref="BP108:BP110" si="241">AVERAGE(H108,T108,AF108,AR108,BD108)</f>
        <v>0</v>
      </c>
      <c r="BQ108" s="13">
        <f t="shared" ref="BQ108:BQ110" si="242">AVERAGE(I108,U108,AG108,AS108,BE108)</f>
        <v>0</v>
      </c>
      <c r="BR108" s="13">
        <f t="shared" ref="BR108:BR110" si="243">AVERAGE(J108,V108,AH108,AT108,BF108)</f>
        <v>0</v>
      </c>
      <c r="BS108" s="13">
        <f t="shared" ref="BS108:BS110" si="244">AVERAGE(K108,W108,AI108,AU108,BG108)</f>
        <v>0</v>
      </c>
      <c r="BT108">
        <f t="shared" ref="BT108:BT110" si="245">SUM(BL108:BS108)</f>
        <v>13</v>
      </c>
      <c r="BU108">
        <f>AVERAGE(L108,X108,AJ108,AV108,BH108)</f>
        <v>13</v>
      </c>
    </row>
    <row r="109" spans="14:73" ht="15.95">
      <c r="O109" t="s">
        <v>11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f t="shared" ref="X109:X110" si="246">SUM(P109:W109)</f>
        <v>1</v>
      </c>
      <c r="AA109" s="5" t="s">
        <v>11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5</v>
      </c>
      <c r="AJ109">
        <f t="shared" ref="AJ109:AJ110" si="247">SUM(AB109:AI109)</f>
        <v>5</v>
      </c>
      <c r="BK109" t="s">
        <v>11</v>
      </c>
      <c r="BL109" s="13">
        <f t="shared" si="237"/>
        <v>0</v>
      </c>
      <c r="BM109" s="13">
        <f t="shared" si="238"/>
        <v>0</v>
      </c>
      <c r="BN109" s="13">
        <f t="shared" si="239"/>
        <v>0</v>
      </c>
      <c r="BO109" s="13">
        <f t="shared" si="240"/>
        <v>0</v>
      </c>
      <c r="BP109" s="13">
        <f t="shared" si="241"/>
        <v>0</v>
      </c>
      <c r="BQ109" s="13">
        <f t="shared" si="242"/>
        <v>0</v>
      </c>
      <c r="BR109" s="13">
        <f t="shared" si="243"/>
        <v>0</v>
      </c>
      <c r="BS109" s="13">
        <f t="shared" si="244"/>
        <v>3</v>
      </c>
      <c r="BT109">
        <f t="shared" si="245"/>
        <v>3</v>
      </c>
      <c r="BU109">
        <f t="shared" ref="BU109:BU110" si="248">AVERAGE(L109,X109,AJ109,AV109,BH109)</f>
        <v>3</v>
      </c>
    </row>
    <row r="110" spans="14:73" ht="15.95">
      <c r="O110" t="s">
        <v>12</v>
      </c>
      <c r="X110">
        <f t="shared" si="246"/>
        <v>0</v>
      </c>
      <c r="AA110" t="s">
        <v>12</v>
      </c>
      <c r="AJ110">
        <f t="shared" si="247"/>
        <v>0</v>
      </c>
      <c r="BK110" t="s">
        <v>12</v>
      </c>
      <c r="BL110" s="13" t="e">
        <f t="shared" si="237"/>
        <v>#DIV/0!</v>
      </c>
      <c r="BM110" s="13" t="e">
        <f t="shared" si="238"/>
        <v>#DIV/0!</v>
      </c>
      <c r="BN110" s="13" t="e">
        <f t="shared" si="239"/>
        <v>#DIV/0!</v>
      </c>
      <c r="BO110" s="13" t="e">
        <f t="shared" si="240"/>
        <v>#DIV/0!</v>
      </c>
      <c r="BP110" s="13" t="e">
        <f t="shared" si="241"/>
        <v>#DIV/0!</v>
      </c>
      <c r="BQ110" s="13" t="e">
        <f t="shared" si="242"/>
        <v>#DIV/0!</v>
      </c>
      <c r="BR110" s="13" t="e">
        <f t="shared" si="243"/>
        <v>#DIV/0!</v>
      </c>
      <c r="BS110" s="13" t="e">
        <f t="shared" si="244"/>
        <v>#DIV/0!</v>
      </c>
      <c r="BT110" t="e">
        <f t="shared" si="245"/>
        <v>#DIV/0!</v>
      </c>
      <c r="BU110">
        <f t="shared" si="248"/>
        <v>0</v>
      </c>
    </row>
    <row r="111" spans="14:73" ht="15.95">
      <c r="X111">
        <f>SUM(X108:X110)</f>
        <v>21</v>
      </c>
      <c r="AJ111">
        <f>SUM(AJ108:AJ110)</f>
        <v>11</v>
      </c>
      <c r="BT111" s="13" t="e">
        <f t="shared" si="157"/>
        <v>#DIV/0!</v>
      </c>
      <c r="BU111">
        <f>AVERAGE(L111,X111,AJ111,AV111,BH111)</f>
        <v>16</v>
      </c>
    </row>
    <row r="112" spans="14:73" ht="15.95">
      <c r="N112" t="s">
        <v>0</v>
      </c>
      <c r="O112" t="s">
        <v>116</v>
      </c>
      <c r="P112" t="s">
        <v>25</v>
      </c>
      <c r="Q112" t="s">
        <v>3</v>
      </c>
      <c r="R112" t="s">
        <v>4</v>
      </c>
      <c r="S112" t="s">
        <v>5</v>
      </c>
      <c r="T112" t="s">
        <v>6</v>
      </c>
      <c r="U112" t="s">
        <v>7</v>
      </c>
      <c r="V112" t="s">
        <v>8</v>
      </c>
      <c r="W112" t="s">
        <v>9</v>
      </c>
      <c r="Z112" t="s">
        <v>13</v>
      </c>
      <c r="AA112" s="5" t="s">
        <v>116</v>
      </c>
      <c r="AB112" t="s">
        <v>25</v>
      </c>
      <c r="AC112" s="5" t="s">
        <v>14</v>
      </c>
      <c r="AD112" t="s">
        <v>4</v>
      </c>
      <c r="AE112" s="5" t="s">
        <v>5</v>
      </c>
      <c r="AF112" s="5" t="s">
        <v>6</v>
      </c>
      <c r="AG112" s="5" t="s">
        <v>7</v>
      </c>
      <c r="AH112" s="5" t="s">
        <v>8</v>
      </c>
      <c r="AI112" t="s">
        <v>9</v>
      </c>
      <c r="AL112" t="s">
        <v>13</v>
      </c>
      <c r="AM112" s="5" t="s">
        <v>116</v>
      </c>
      <c r="AN112" t="s">
        <v>25</v>
      </c>
      <c r="AO112" s="5" t="s">
        <v>14</v>
      </c>
      <c r="AP112" t="s">
        <v>4</v>
      </c>
      <c r="AQ112" s="5" t="s">
        <v>5</v>
      </c>
      <c r="AR112" s="5" t="s">
        <v>6</v>
      </c>
      <c r="AS112" s="5" t="s">
        <v>7</v>
      </c>
      <c r="AT112" s="5" t="s">
        <v>8</v>
      </c>
      <c r="AU112" t="s">
        <v>9</v>
      </c>
      <c r="BJ112" t="s">
        <v>26</v>
      </c>
      <c r="BK112" t="s">
        <v>116</v>
      </c>
      <c r="BL112" t="s">
        <v>25</v>
      </c>
      <c r="BM112" s="13" t="s">
        <v>14</v>
      </c>
      <c r="BN112" t="s">
        <v>4</v>
      </c>
      <c r="BO112" s="13" t="s">
        <v>5</v>
      </c>
      <c r="BP112" s="13" t="s">
        <v>6</v>
      </c>
      <c r="BQ112" s="13" t="s">
        <v>7</v>
      </c>
      <c r="BR112" s="13" t="s">
        <v>8</v>
      </c>
      <c r="BS112" t="s">
        <v>9</v>
      </c>
    </row>
    <row r="113" spans="14:73" ht="15.95">
      <c r="O113" t="s">
        <v>10</v>
      </c>
      <c r="P113">
        <v>39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f>SUM(P113:W113)</f>
        <v>42</v>
      </c>
      <c r="AA113" s="5" t="s">
        <v>10</v>
      </c>
      <c r="AB113" s="5">
        <v>29</v>
      </c>
      <c r="AC113" s="5">
        <v>1</v>
      </c>
      <c r="AD113" s="5">
        <v>0</v>
      </c>
      <c r="AE113" s="5">
        <v>1</v>
      </c>
      <c r="AF113" s="5">
        <v>0</v>
      </c>
      <c r="AG113" s="5">
        <v>0</v>
      </c>
      <c r="AH113" s="5">
        <v>1</v>
      </c>
      <c r="AI113" s="5">
        <v>0</v>
      </c>
      <c r="AJ113">
        <f>SUM(AB113:AI113)</f>
        <v>32</v>
      </c>
      <c r="AM113" s="5" t="s">
        <v>10</v>
      </c>
      <c r="AN113" s="5">
        <v>32</v>
      </c>
      <c r="AO113" s="5">
        <v>2</v>
      </c>
      <c r="AP113" s="5">
        <v>0</v>
      </c>
      <c r="AQ113" s="5">
        <v>1</v>
      </c>
      <c r="AR113" s="5">
        <v>0</v>
      </c>
      <c r="AS113" s="5">
        <v>0</v>
      </c>
      <c r="AT113" s="5">
        <v>0</v>
      </c>
      <c r="AU113" s="5">
        <v>0</v>
      </c>
      <c r="AV113">
        <f>SUM(AN113:AU113)</f>
        <v>35</v>
      </c>
      <c r="BK113" t="s">
        <v>10</v>
      </c>
      <c r="BL113" s="13">
        <f t="shared" ref="BL113:BL115" si="249">AVERAGE(D113,P113,AB113,AN113,AZ113)</f>
        <v>33.333333333333336</v>
      </c>
      <c r="BM113" s="13">
        <f t="shared" ref="BM113:BM115" si="250">AVERAGE(E113,Q113,AC113,AO113,BA113)</f>
        <v>1.6666666666666667</v>
      </c>
      <c r="BN113" s="13">
        <f t="shared" ref="BN113:BN115" si="251">AVERAGE(F113,R113,AD113,AP113,BB113)</f>
        <v>0</v>
      </c>
      <c r="BO113" s="13">
        <f t="shared" ref="BO113:BO115" si="252">AVERAGE(G113,S113,AE113,AQ113,BC113)</f>
        <v>0.66666666666666663</v>
      </c>
      <c r="BP113" s="13">
        <f t="shared" ref="BP113:BP115" si="253">AVERAGE(H113,T113,AF113,AR113,BD113)</f>
        <v>0</v>
      </c>
      <c r="BQ113" s="13">
        <f t="shared" ref="BQ113:BQ115" si="254">AVERAGE(I113,U113,AG113,AS113,BE113)</f>
        <v>0</v>
      </c>
      <c r="BR113" s="13">
        <f t="shared" ref="BR113:BR115" si="255">AVERAGE(J113,V113,AH113,AT113,BF113)</f>
        <v>0.66666666666666663</v>
      </c>
      <c r="BS113" s="13">
        <f t="shared" ref="BS113:BS115" si="256">AVERAGE(K113,W113,AI113,AU113,BG113)</f>
        <v>0</v>
      </c>
      <c r="BT113">
        <f t="shared" ref="BT113:BT115" si="257">SUM(BL113:BS113)</f>
        <v>36.333333333333329</v>
      </c>
      <c r="BU113">
        <f>AVERAGE(L113,X113,AJ113,AV113,BH113)</f>
        <v>36.333333333333336</v>
      </c>
    </row>
    <row r="114" spans="14:73" ht="15.95">
      <c r="O114" t="s">
        <v>11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f t="shared" ref="X114" si="258">SUM(P114:W114)</f>
        <v>1</v>
      </c>
      <c r="AA114" s="5" t="s">
        <v>11</v>
      </c>
      <c r="AB114" s="5">
        <v>7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9</v>
      </c>
      <c r="AJ114">
        <f t="shared" ref="AJ114" si="259">SUM(AB114:AI114)</f>
        <v>16</v>
      </c>
      <c r="AM114" s="5" t="s">
        <v>11</v>
      </c>
      <c r="AN114" s="5">
        <v>9</v>
      </c>
      <c r="AO114" s="5">
        <v>0</v>
      </c>
      <c r="AP114" s="5">
        <v>1</v>
      </c>
      <c r="AQ114" s="5">
        <v>1</v>
      </c>
      <c r="AR114" s="5">
        <v>3</v>
      </c>
      <c r="AS114" s="5">
        <v>0</v>
      </c>
      <c r="AT114" s="5">
        <v>0</v>
      </c>
      <c r="AU114" s="5">
        <v>6</v>
      </c>
      <c r="AV114">
        <f t="shared" ref="AV114:AV115" si="260">SUM(AN114:AU114)</f>
        <v>20</v>
      </c>
      <c r="BK114" t="s">
        <v>11</v>
      </c>
      <c r="BL114" s="13">
        <f t="shared" si="249"/>
        <v>5.333333333333333</v>
      </c>
      <c r="BM114" s="13">
        <f t="shared" si="250"/>
        <v>0</v>
      </c>
      <c r="BN114" s="13">
        <f t="shared" si="251"/>
        <v>0.33333333333333331</v>
      </c>
      <c r="BO114" s="13">
        <f t="shared" si="252"/>
        <v>0.33333333333333331</v>
      </c>
      <c r="BP114" s="13">
        <f t="shared" si="253"/>
        <v>1</v>
      </c>
      <c r="BQ114" s="13">
        <f t="shared" si="254"/>
        <v>0</v>
      </c>
      <c r="BR114" s="13">
        <f t="shared" si="255"/>
        <v>0</v>
      </c>
      <c r="BS114" s="13">
        <f t="shared" si="256"/>
        <v>5.333333333333333</v>
      </c>
      <c r="BT114">
        <f t="shared" si="257"/>
        <v>12.333333333333332</v>
      </c>
      <c r="BU114">
        <f t="shared" ref="BU114" si="261">AVERAGE(L114,X114,AJ114,AV114,BH114)</f>
        <v>12.333333333333334</v>
      </c>
    </row>
    <row r="115" spans="14:73" ht="15.95">
      <c r="O115" t="s">
        <v>12</v>
      </c>
      <c r="AH115">
        <v>0</v>
      </c>
      <c r="AI115">
        <v>0</v>
      </c>
      <c r="AM115" t="s">
        <v>12</v>
      </c>
      <c r="AN115">
        <v>20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f t="shared" si="260"/>
        <v>20</v>
      </c>
      <c r="BK115" t="s">
        <v>12</v>
      </c>
      <c r="BL115" s="13">
        <f t="shared" si="249"/>
        <v>20</v>
      </c>
      <c r="BM115" s="13">
        <f t="shared" si="250"/>
        <v>0</v>
      </c>
      <c r="BN115" s="13">
        <f t="shared" si="251"/>
        <v>0</v>
      </c>
      <c r="BO115" s="13">
        <f t="shared" si="252"/>
        <v>0</v>
      </c>
      <c r="BP115" s="13">
        <f t="shared" si="253"/>
        <v>0</v>
      </c>
      <c r="BQ115" s="13">
        <f t="shared" si="254"/>
        <v>0</v>
      </c>
      <c r="BR115" s="13">
        <f t="shared" si="255"/>
        <v>0</v>
      </c>
      <c r="BS115" s="13">
        <f t="shared" si="256"/>
        <v>0</v>
      </c>
      <c r="BT115">
        <f t="shared" si="257"/>
        <v>20</v>
      </c>
      <c r="BU115">
        <f>AVERAGE(L115,X115,AJ115,AV115,BH115)</f>
        <v>20</v>
      </c>
    </row>
    <row r="116" spans="14:73" ht="15.95">
      <c r="X116">
        <f>SUM(X113:X115)</f>
        <v>43</v>
      </c>
      <c r="AJ116">
        <f>SUM(AJ113:AJ115)</f>
        <v>48</v>
      </c>
      <c r="AV116">
        <f>SUM(AV113:AV115)</f>
        <v>75</v>
      </c>
      <c r="BT116" s="13">
        <f>SUM(BT113,BT114,BT115)</f>
        <v>68.666666666666657</v>
      </c>
      <c r="BU116">
        <f>AVERAGE(L116,X116,AJ116,AV116,BH116)</f>
        <v>55.333333333333336</v>
      </c>
    </row>
    <row r="117" spans="14:73" ht="15.95">
      <c r="N117" t="s">
        <v>0</v>
      </c>
      <c r="O117" t="s">
        <v>117</v>
      </c>
      <c r="P117" t="s">
        <v>25</v>
      </c>
      <c r="Q117" t="s">
        <v>3</v>
      </c>
      <c r="R117" t="s">
        <v>4</v>
      </c>
      <c r="S117" t="s">
        <v>5</v>
      </c>
      <c r="T117" t="s">
        <v>6</v>
      </c>
      <c r="U117" t="s">
        <v>7</v>
      </c>
      <c r="V117" t="s">
        <v>8</v>
      </c>
      <c r="W117" t="s">
        <v>9</v>
      </c>
      <c r="Z117" t="s">
        <v>13</v>
      </c>
      <c r="AA117" s="5" t="s">
        <v>117</v>
      </c>
      <c r="AB117" t="s">
        <v>25</v>
      </c>
      <c r="AC117" s="5" t="s">
        <v>14</v>
      </c>
      <c r="AD117" t="s">
        <v>4</v>
      </c>
      <c r="AE117" s="5" t="s">
        <v>5</v>
      </c>
      <c r="AF117" s="5" t="s">
        <v>6</v>
      </c>
      <c r="AG117" s="5" t="s">
        <v>7</v>
      </c>
      <c r="AH117" s="5" t="s">
        <v>8</v>
      </c>
      <c r="AI117" t="s">
        <v>9</v>
      </c>
      <c r="BJ117" t="s">
        <v>26</v>
      </c>
      <c r="BK117" t="s">
        <v>117</v>
      </c>
      <c r="BL117" t="s">
        <v>25</v>
      </c>
      <c r="BM117" s="13" t="s">
        <v>14</v>
      </c>
      <c r="BN117" t="s">
        <v>4</v>
      </c>
      <c r="BO117" s="13" t="s">
        <v>5</v>
      </c>
      <c r="BP117" s="13" t="s">
        <v>6</v>
      </c>
      <c r="BQ117" s="13" t="s">
        <v>7</v>
      </c>
      <c r="BR117" s="13" t="s">
        <v>8</v>
      </c>
      <c r="BS117" t="s">
        <v>9</v>
      </c>
    </row>
    <row r="118" spans="14:73" ht="15.95">
      <c r="O118" t="s">
        <v>10</v>
      </c>
      <c r="AA118" s="5" t="s">
        <v>10</v>
      </c>
      <c r="AB118" s="5">
        <v>34</v>
      </c>
      <c r="AC118" s="5">
        <v>1</v>
      </c>
      <c r="AD118" s="5">
        <v>1</v>
      </c>
      <c r="AE118" s="5">
        <v>2</v>
      </c>
      <c r="AF118" s="5">
        <v>0</v>
      </c>
      <c r="AG118" s="5">
        <v>0</v>
      </c>
      <c r="AH118" s="5">
        <v>1</v>
      </c>
      <c r="AI118" s="5">
        <v>0</v>
      </c>
      <c r="AJ118">
        <f>SUM(AB118:AI118)</f>
        <v>39</v>
      </c>
      <c r="BK118" t="s">
        <v>10</v>
      </c>
      <c r="BL118" s="13">
        <f t="shared" ref="BL118:BL120" si="262">AVERAGE(D118,P118,AB118,AN118,AZ118)</f>
        <v>34</v>
      </c>
      <c r="BM118" s="13">
        <f t="shared" ref="BM118:BM120" si="263">AVERAGE(E118,Q118,AC118,AO118,BA118)</f>
        <v>1</v>
      </c>
      <c r="BN118" s="13">
        <f t="shared" ref="BN118:BN120" si="264">AVERAGE(F118,R118,AD118,AP118,BB118)</f>
        <v>1</v>
      </c>
      <c r="BO118" s="13">
        <f t="shared" ref="BO118:BO120" si="265">AVERAGE(G118,S118,AE118,AQ118,BC118)</f>
        <v>2</v>
      </c>
      <c r="BP118" s="13">
        <f t="shared" ref="BP118:BP120" si="266">AVERAGE(H118,T118,AF118,AR118,BD118)</f>
        <v>0</v>
      </c>
      <c r="BQ118" s="13">
        <f t="shared" ref="BQ118:BQ120" si="267">AVERAGE(I118,U118,AG118,AS118,BE118)</f>
        <v>0</v>
      </c>
      <c r="BR118" s="13">
        <f t="shared" ref="BR118:BR120" si="268">AVERAGE(J118,V118,AH118,AT118,BF118)</f>
        <v>1</v>
      </c>
      <c r="BS118" s="13">
        <f t="shared" ref="BS118:BS120" si="269">AVERAGE(K118,W118,AI118,AU118,BG118)</f>
        <v>0</v>
      </c>
      <c r="BT118">
        <f t="shared" ref="BT118:BT120" si="270">SUM(BL118:BS118)</f>
        <v>39</v>
      </c>
      <c r="BU118">
        <f>AVERAGE(L118,X118,AJ118,AV118,BH118)</f>
        <v>39</v>
      </c>
    </row>
    <row r="119" spans="14:73" ht="15.95">
      <c r="O119" t="s">
        <v>11</v>
      </c>
      <c r="AA119" s="5" t="s">
        <v>11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21</v>
      </c>
      <c r="AJ119">
        <f t="shared" ref="AJ119:AJ120" si="271">SUM(AB119:AI119)</f>
        <v>21</v>
      </c>
      <c r="BK119" t="s">
        <v>11</v>
      </c>
      <c r="BL119" s="13">
        <f t="shared" si="262"/>
        <v>0</v>
      </c>
      <c r="BM119" s="13">
        <f t="shared" si="263"/>
        <v>0</v>
      </c>
      <c r="BN119" s="13">
        <f t="shared" si="264"/>
        <v>0</v>
      </c>
      <c r="BO119" s="13">
        <f t="shared" si="265"/>
        <v>0</v>
      </c>
      <c r="BP119" s="13">
        <f t="shared" si="266"/>
        <v>0</v>
      </c>
      <c r="BQ119" s="13">
        <f t="shared" si="267"/>
        <v>0</v>
      </c>
      <c r="BR119" s="13">
        <f t="shared" si="268"/>
        <v>0</v>
      </c>
      <c r="BS119" s="13">
        <f t="shared" si="269"/>
        <v>21</v>
      </c>
      <c r="BT119">
        <f t="shared" si="270"/>
        <v>21</v>
      </c>
      <c r="BU119">
        <f t="shared" ref="BU119:BU121" si="272">AVERAGE(L119,X119,AJ119,AV119,BH119)</f>
        <v>21</v>
      </c>
    </row>
    <row r="120" spans="14:73" ht="15.95">
      <c r="O120" t="s">
        <v>12</v>
      </c>
      <c r="AA120" t="s">
        <v>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f t="shared" si="271"/>
        <v>0</v>
      </c>
      <c r="BK120" t="s">
        <v>12</v>
      </c>
      <c r="BL120" s="13">
        <f t="shared" si="262"/>
        <v>0</v>
      </c>
      <c r="BM120" s="13">
        <f t="shared" si="263"/>
        <v>0</v>
      </c>
      <c r="BN120" s="13">
        <f t="shared" si="264"/>
        <v>0</v>
      </c>
      <c r="BO120" s="13">
        <f t="shared" si="265"/>
        <v>0</v>
      </c>
      <c r="BP120" s="13">
        <f t="shared" si="266"/>
        <v>0</v>
      </c>
      <c r="BQ120" s="13">
        <f t="shared" si="267"/>
        <v>0</v>
      </c>
      <c r="BR120" s="13">
        <f t="shared" si="268"/>
        <v>0</v>
      </c>
      <c r="BS120" s="13">
        <f t="shared" si="269"/>
        <v>0</v>
      </c>
      <c r="BT120">
        <f t="shared" si="270"/>
        <v>0</v>
      </c>
      <c r="BU120">
        <f t="shared" si="272"/>
        <v>0</v>
      </c>
    </row>
    <row r="121" spans="14:73" ht="15.95">
      <c r="AJ121">
        <f>SUM(AJ118:AJ120)</f>
        <v>60</v>
      </c>
      <c r="BT121" s="13">
        <f t="shared" si="157"/>
        <v>60</v>
      </c>
      <c r="BU121">
        <f t="shared" si="272"/>
        <v>60</v>
      </c>
    </row>
    <row r="122" spans="14:73" ht="15.95">
      <c r="N122" t="s">
        <v>0</v>
      </c>
      <c r="O122" t="s">
        <v>118</v>
      </c>
      <c r="P122" t="s">
        <v>25</v>
      </c>
      <c r="Q122" t="s">
        <v>3</v>
      </c>
      <c r="R122" t="s">
        <v>4</v>
      </c>
      <c r="S122" t="s">
        <v>5</v>
      </c>
      <c r="T122" t="s">
        <v>6</v>
      </c>
      <c r="U122" t="s">
        <v>7</v>
      </c>
      <c r="V122" t="s">
        <v>8</v>
      </c>
      <c r="W122" t="s">
        <v>9</v>
      </c>
      <c r="Z122" t="s">
        <v>13</v>
      </c>
      <c r="AA122" s="5" t="s">
        <v>118</v>
      </c>
      <c r="AB122" t="s">
        <v>25</v>
      </c>
      <c r="AC122" s="5" t="s">
        <v>14</v>
      </c>
      <c r="AD122" t="s">
        <v>4</v>
      </c>
      <c r="AE122" s="5" t="s">
        <v>5</v>
      </c>
      <c r="AF122" s="5" t="s">
        <v>6</v>
      </c>
      <c r="AG122" s="5" t="s">
        <v>7</v>
      </c>
      <c r="AH122" s="5" t="s">
        <v>8</v>
      </c>
      <c r="AI122" t="s">
        <v>9</v>
      </c>
      <c r="BJ122" t="s">
        <v>26</v>
      </c>
      <c r="BK122" t="s">
        <v>118</v>
      </c>
      <c r="BL122" t="s">
        <v>25</v>
      </c>
      <c r="BM122" s="13" t="s">
        <v>14</v>
      </c>
      <c r="BN122" t="s">
        <v>4</v>
      </c>
      <c r="BO122" s="13" t="s">
        <v>5</v>
      </c>
      <c r="BP122" s="13" t="s">
        <v>6</v>
      </c>
      <c r="BQ122" s="13" t="s">
        <v>7</v>
      </c>
      <c r="BR122" s="13" t="s">
        <v>8</v>
      </c>
      <c r="BS122" t="s">
        <v>9</v>
      </c>
    </row>
    <row r="123" spans="14:73" ht="15.95">
      <c r="O123" t="s">
        <v>10</v>
      </c>
      <c r="P123">
        <v>35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1</v>
      </c>
      <c r="W123">
        <v>0</v>
      </c>
      <c r="X123">
        <f>SUM(P123:W123)</f>
        <v>38</v>
      </c>
      <c r="AA123" s="5" t="s">
        <v>10</v>
      </c>
      <c r="AB123" s="5">
        <v>35</v>
      </c>
      <c r="AC123" s="5">
        <v>0</v>
      </c>
      <c r="AD123" s="5">
        <v>0</v>
      </c>
      <c r="AE123" s="5">
        <v>3</v>
      </c>
      <c r="AF123" s="5">
        <v>1</v>
      </c>
      <c r="AG123" s="5">
        <v>0</v>
      </c>
      <c r="AH123" s="5">
        <v>2</v>
      </c>
      <c r="AI123" s="5">
        <v>0</v>
      </c>
      <c r="AJ123">
        <f>SUM(AB123:AI123)</f>
        <v>41</v>
      </c>
      <c r="BK123" t="s">
        <v>10</v>
      </c>
      <c r="BL123" s="13">
        <f t="shared" ref="BL123:BL125" si="273">AVERAGE(D123,P123,AB123,AN123,AZ123)</f>
        <v>35</v>
      </c>
      <c r="BM123" s="13">
        <f t="shared" ref="BM123:BM125" si="274">AVERAGE(E123,Q123,AC123,AO123,BA123)</f>
        <v>0</v>
      </c>
      <c r="BN123" s="13">
        <f t="shared" ref="BN123:BN125" si="275">AVERAGE(F123,R123,AD123,AP123,BB123)</f>
        <v>0</v>
      </c>
      <c r="BO123" s="13">
        <f t="shared" ref="BO123:BO125" si="276">AVERAGE(G123,S123,AE123,AQ123,BC123)</f>
        <v>2.5</v>
      </c>
      <c r="BP123" s="13">
        <f t="shared" ref="BP123:BP125" si="277">AVERAGE(H123,T123,AF123,AR123,BD123)</f>
        <v>0.5</v>
      </c>
      <c r="BQ123" s="13">
        <f t="shared" ref="BQ123:BQ125" si="278">AVERAGE(I123,U123,AG123,AS123,BE123)</f>
        <v>0</v>
      </c>
      <c r="BR123" s="13">
        <f t="shared" ref="BR123:BR125" si="279">AVERAGE(J123,V123,AH123,AT123,BF123)</f>
        <v>1.5</v>
      </c>
      <c r="BS123" s="13">
        <f t="shared" ref="BS123:BS125" si="280">AVERAGE(K123,W123,AI123,AU123,BG123)</f>
        <v>0</v>
      </c>
      <c r="BT123">
        <f t="shared" ref="BT123:BT125" si="281">SUM(BL123:BS123)</f>
        <v>39.5</v>
      </c>
      <c r="BU123">
        <f>AVERAGE(L123,X123,AJ123,AV123,BH123)</f>
        <v>39.5</v>
      </c>
    </row>
    <row r="124" spans="14:73" ht="15.95">
      <c r="O124" t="s">
        <v>11</v>
      </c>
      <c r="P124">
        <v>7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f t="shared" ref="X124:X125" si="282">SUM(P124:W124)</f>
        <v>9</v>
      </c>
      <c r="AA124" s="5" t="s">
        <v>11</v>
      </c>
      <c r="AB124" s="5">
        <v>0</v>
      </c>
      <c r="AC124" s="5">
        <v>0</v>
      </c>
      <c r="AD124" s="5">
        <v>2</v>
      </c>
      <c r="AE124" s="5">
        <v>0</v>
      </c>
      <c r="AF124" s="5">
        <v>2</v>
      </c>
      <c r="AG124" s="5">
        <v>1</v>
      </c>
      <c r="AH124" s="5">
        <v>0</v>
      </c>
      <c r="AI124" s="5">
        <v>1</v>
      </c>
      <c r="AJ124">
        <f t="shared" ref="AJ124:AJ125" si="283">SUM(AB124:AI124)</f>
        <v>6</v>
      </c>
      <c r="BK124" t="s">
        <v>11</v>
      </c>
      <c r="BL124" s="13">
        <f t="shared" si="273"/>
        <v>3.5</v>
      </c>
      <c r="BM124" s="13">
        <f t="shared" si="274"/>
        <v>0</v>
      </c>
      <c r="BN124" s="13">
        <f t="shared" si="275"/>
        <v>1</v>
      </c>
      <c r="BO124" s="13">
        <f t="shared" si="276"/>
        <v>0</v>
      </c>
      <c r="BP124" s="13">
        <f t="shared" si="277"/>
        <v>2</v>
      </c>
      <c r="BQ124" s="13">
        <f t="shared" si="278"/>
        <v>0.5</v>
      </c>
      <c r="BR124" s="13">
        <f t="shared" si="279"/>
        <v>0</v>
      </c>
      <c r="BS124" s="13">
        <f t="shared" si="280"/>
        <v>0.5</v>
      </c>
      <c r="BT124">
        <f t="shared" si="281"/>
        <v>7.5</v>
      </c>
      <c r="BU124">
        <f t="shared" ref="BU124:BU126" si="284">AVERAGE(L124,X124,AJ124,AV124,BH124)</f>
        <v>7.5</v>
      </c>
    </row>
    <row r="125" spans="14:73" ht="15.95">
      <c r="O125" t="s">
        <v>12</v>
      </c>
      <c r="P125">
        <v>11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f t="shared" si="282"/>
        <v>11</v>
      </c>
      <c r="AA125" t="s">
        <v>12</v>
      </c>
      <c r="AB125">
        <v>20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f t="shared" si="283"/>
        <v>20</v>
      </c>
      <c r="BK125" t="s">
        <v>12</v>
      </c>
      <c r="BL125" s="13">
        <f t="shared" si="273"/>
        <v>15.5</v>
      </c>
      <c r="BM125" s="13">
        <f t="shared" si="274"/>
        <v>0</v>
      </c>
      <c r="BN125" s="13">
        <f t="shared" si="275"/>
        <v>0</v>
      </c>
      <c r="BO125" s="13">
        <f t="shared" si="276"/>
        <v>0</v>
      </c>
      <c r="BP125" s="13">
        <f t="shared" si="277"/>
        <v>0</v>
      </c>
      <c r="BQ125" s="13">
        <f t="shared" si="278"/>
        <v>0</v>
      </c>
      <c r="BR125" s="13">
        <f t="shared" si="279"/>
        <v>0</v>
      </c>
      <c r="BS125" s="13">
        <f t="shared" si="280"/>
        <v>0</v>
      </c>
      <c r="BT125">
        <f t="shared" si="281"/>
        <v>15.5</v>
      </c>
      <c r="BU125">
        <f t="shared" si="284"/>
        <v>15.5</v>
      </c>
    </row>
    <row r="126" spans="14:73" ht="15.95">
      <c r="X126">
        <f>SUM(X123:X125)</f>
        <v>58</v>
      </c>
      <c r="AJ126">
        <f>SUM(AJ123:AJ125)</f>
        <v>67</v>
      </c>
      <c r="BT126" s="13">
        <f t="shared" ref="BT126" si="285">SUM(BT123,BT124,BT125)</f>
        <v>62.5</v>
      </c>
      <c r="BU126">
        <f t="shared" si="284"/>
        <v>62.5</v>
      </c>
    </row>
    <row r="127" spans="14:73" ht="15.95">
      <c r="N127" t="s">
        <v>0</v>
      </c>
      <c r="O127" t="s">
        <v>119</v>
      </c>
      <c r="P127" t="s">
        <v>25</v>
      </c>
      <c r="Q127" t="s">
        <v>3</v>
      </c>
      <c r="R127" t="s">
        <v>4</v>
      </c>
      <c r="S127" t="s">
        <v>5</v>
      </c>
      <c r="T127" t="s">
        <v>6</v>
      </c>
      <c r="U127" t="s">
        <v>7</v>
      </c>
      <c r="V127" t="s">
        <v>8</v>
      </c>
      <c r="W127" t="s">
        <v>9</v>
      </c>
      <c r="Z127" t="s">
        <v>13</v>
      </c>
      <c r="AA127" s="5" t="s">
        <v>119</v>
      </c>
      <c r="AB127" t="s">
        <v>25</v>
      </c>
      <c r="AC127" s="5" t="s">
        <v>14</v>
      </c>
      <c r="AD127" t="s">
        <v>4</v>
      </c>
      <c r="AE127" s="5" t="s">
        <v>5</v>
      </c>
      <c r="AF127" s="5" t="s">
        <v>6</v>
      </c>
      <c r="AG127" s="5" t="s">
        <v>7</v>
      </c>
      <c r="AH127" s="5" t="s">
        <v>8</v>
      </c>
      <c r="AI127" t="s">
        <v>9</v>
      </c>
      <c r="BJ127" t="s">
        <v>26</v>
      </c>
      <c r="BK127" t="s">
        <v>119</v>
      </c>
      <c r="BL127" t="s">
        <v>25</v>
      </c>
      <c r="BM127" s="13" t="s">
        <v>14</v>
      </c>
      <c r="BN127" t="s">
        <v>4</v>
      </c>
      <c r="BO127" s="13" t="s">
        <v>5</v>
      </c>
      <c r="BP127" s="13" t="s">
        <v>6</v>
      </c>
      <c r="BQ127" s="13" t="s">
        <v>7</v>
      </c>
      <c r="BR127" s="13" t="s">
        <v>8</v>
      </c>
      <c r="BS127" t="s">
        <v>9</v>
      </c>
    </row>
    <row r="128" spans="14:73" ht="15.95">
      <c r="O128" t="s">
        <v>10</v>
      </c>
      <c r="P128">
        <v>28</v>
      </c>
      <c r="Q128">
        <v>2</v>
      </c>
      <c r="R128">
        <v>0</v>
      </c>
      <c r="S128">
        <v>2</v>
      </c>
      <c r="T128">
        <v>0</v>
      </c>
      <c r="U128">
        <v>0</v>
      </c>
      <c r="V128">
        <v>1</v>
      </c>
      <c r="W128">
        <v>0</v>
      </c>
      <c r="X128">
        <f>SUM(P128:W128)</f>
        <v>33</v>
      </c>
      <c r="AA128" s="5" t="s">
        <v>10</v>
      </c>
      <c r="AB128" s="5">
        <v>36</v>
      </c>
      <c r="AC128" s="5">
        <v>1</v>
      </c>
      <c r="AD128" s="5">
        <v>0</v>
      </c>
      <c r="AE128" s="5">
        <v>2</v>
      </c>
      <c r="AF128" s="5">
        <v>0</v>
      </c>
      <c r="AG128" s="5">
        <v>0</v>
      </c>
      <c r="AH128" s="5">
        <v>1</v>
      </c>
      <c r="AI128" s="5">
        <v>0</v>
      </c>
      <c r="AJ128">
        <f>SUM(AB128:AI128)</f>
        <v>40</v>
      </c>
      <c r="BK128" t="s">
        <v>10</v>
      </c>
      <c r="BL128" s="13">
        <f t="shared" ref="BL128:BL130" si="286">AVERAGE(D128,P128,AB128,AN128,AZ128)</f>
        <v>32</v>
      </c>
      <c r="BM128" s="13">
        <f t="shared" ref="BM128:BM130" si="287">AVERAGE(E128,Q128,AC128,AO128,BA128)</f>
        <v>1.5</v>
      </c>
      <c r="BN128" s="13">
        <f t="shared" ref="BN128:BN130" si="288">AVERAGE(F128,R128,AD128,AP128,BB128)</f>
        <v>0</v>
      </c>
      <c r="BO128" s="13">
        <f t="shared" ref="BO128:BO130" si="289">AVERAGE(G128,S128,AE128,AQ128,BC128)</f>
        <v>2</v>
      </c>
      <c r="BP128" s="13">
        <f t="shared" ref="BP128:BP130" si="290">AVERAGE(H128,T128,AF128,AR128,BD128)</f>
        <v>0</v>
      </c>
      <c r="BQ128" s="13">
        <f t="shared" ref="BQ128:BQ130" si="291">AVERAGE(I128,U128,AG128,AS128,BE128)</f>
        <v>0</v>
      </c>
      <c r="BR128" s="13">
        <f t="shared" ref="BR128:BR130" si="292">AVERAGE(J128,V128,AH128,AT128,BF128)</f>
        <v>1</v>
      </c>
      <c r="BS128" s="13">
        <f t="shared" ref="BS128:BS130" si="293">AVERAGE(K128,W128,AI128,AU128,BG128)</f>
        <v>0</v>
      </c>
      <c r="BT128">
        <f t="shared" ref="BT128:BT130" si="294">SUM(BL128:BS128)</f>
        <v>36.5</v>
      </c>
      <c r="BU128">
        <f>AVERAGE(L128,X128,AJ128,AV128,BH128)</f>
        <v>36.5</v>
      </c>
    </row>
    <row r="129" spans="14:73" ht="15.95">
      <c r="O129" t="s">
        <v>11</v>
      </c>
      <c r="P129">
        <v>9</v>
      </c>
      <c r="Q129">
        <v>2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f t="shared" ref="X129:X130" si="295">SUM(P129:W129)</f>
        <v>13</v>
      </c>
      <c r="AA129" s="5" t="s">
        <v>11</v>
      </c>
      <c r="AB129" s="5">
        <v>0</v>
      </c>
      <c r="AC129" s="5">
        <v>0</v>
      </c>
      <c r="AD129" s="5">
        <v>0</v>
      </c>
      <c r="AE129" s="5">
        <v>0</v>
      </c>
      <c r="AF129" s="5">
        <v>2</v>
      </c>
      <c r="AG129" s="5">
        <v>0</v>
      </c>
      <c r="AH129" s="5">
        <v>0</v>
      </c>
      <c r="AI129" s="5">
        <v>0</v>
      </c>
      <c r="AJ129">
        <f t="shared" ref="AJ129:AJ130" si="296">SUM(AB129:AI129)</f>
        <v>2</v>
      </c>
      <c r="BK129" t="s">
        <v>11</v>
      </c>
      <c r="BL129" s="13">
        <f t="shared" si="286"/>
        <v>4.5</v>
      </c>
      <c r="BM129" s="13">
        <f t="shared" si="287"/>
        <v>1</v>
      </c>
      <c r="BN129" s="13">
        <f t="shared" si="288"/>
        <v>0</v>
      </c>
      <c r="BO129" s="13">
        <f t="shared" si="289"/>
        <v>0</v>
      </c>
      <c r="BP129" s="13">
        <f t="shared" si="290"/>
        <v>2</v>
      </c>
      <c r="BQ129" s="13">
        <f t="shared" si="291"/>
        <v>0</v>
      </c>
      <c r="BR129" s="13">
        <f t="shared" si="292"/>
        <v>0</v>
      </c>
      <c r="BS129" s="13">
        <f t="shared" si="293"/>
        <v>0</v>
      </c>
      <c r="BT129">
        <f t="shared" si="294"/>
        <v>7.5</v>
      </c>
      <c r="BU129">
        <f t="shared" ref="BU129:BU131" si="297">AVERAGE(L129,X129,AJ129,AV129,BH129)</f>
        <v>7.5</v>
      </c>
    </row>
    <row r="130" spans="14:73" ht="15.95">
      <c r="O130" t="s">
        <v>12</v>
      </c>
      <c r="P130">
        <v>11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f t="shared" si="295"/>
        <v>11</v>
      </c>
      <c r="AA130" t="s">
        <v>12</v>
      </c>
      <c r="AB130">
        <v>10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f t="shared" si="296"/>
        <v>10</v>
      </c>
      <c r="BK130" t="s">
        <v>12</v>
      </c>
      <c r="BL130" s="13">
        <f t="shared" si="286"/>
        <v>10.5</v>
      </c>
      <c r="BM130" s="13">
        <f t="shared" si="287"/>
        <v>0</v>
      </c>
      <c r="BN130" s="13">
        <f t="shared" si="288"/>
        <v>0</v>
      </c>
      <c r="BO130" s="13">
        <f t="shared" si="289"/>
        <v>0</v>
      </c>
      <c r="BP130" s="13">
        <f t="shared" si="290"/>
        <v>0</v>
      </c>
      <c r="BQ130" s="13">
        <f t="shared" si="291"/>
        <v>0</v>
      </c>
      <c r="BR130" s="13">
        <f t="shared" si="292"/>
        <v>0</v>
      </c>
      <c r="BS130" s="13">
        <f t="shared" si="293"/>
        <v>0</v>
      </c>
      <c r="BT130">
        <f t="shared" si="294"/>
        <v>10.5</v>
      </c>
      <c r="BU130">
        <f t="shared" si="297"/>
        <v>10.5</v>
      </c>
    </row>
    <row r="131" spans="14:73" ht="15.95">
      <c r="X131">
        <f>SUM(X128:X130)</f>
        <v>57</v>
      </c>
      <c r="AJ131">
        <f>SUM(AJ128:AJ130)</f>
        <v>52</v>
      </c>
      <c r="BT131" s="13">
        <f t="shared" ref="BT131" si="298">SUM(BT128,BT129,BT130)</f>
        <v>54.5</v>
      </c>
      <c r="BU131">
        <f t="shared" si="297"/>
        <v>54.5</v>
      </c>
    </row>
    <row r="132" spans="14:73" ht="15.95">
      <c r="N132" t="s">
        <v>0</v>
      </c>
      <c r="O132" t="s">
        <v>120</v>
      </c>
      <c r="P132" t="s">
        <v>25</v>
      </c>
      <c r="Q132" t="s">
        <v>3</v>
      </c>
      <c r="R132" t="s">
        <v>4</v>
      </c>
      <c r="S132" t="s">
        <v>5</v>
      </c>
      <c r="T132" t="s">
        <v>6</v>
      </c>
      <c r="U132" t="s">
        <v>7</v>
      </c>
      <c r="V132" t="s">
        <v>8</v>
      </c>
      <c r="W132" t="s">
        <v>9</v>
      </c>
      <c r="Z132" t="s">
        <v>13</v>
      </c>
      <c r="AA132" s="5" t="s">
        <v>120</v>
      </c>
      <c r="AB132" t="s">
        <v>25</v>
      </c>
      <c r="AC132" s="5" t="s">
        <v>14</v>
      </c>
      <c r="AD132" t="s">
        <v>4</v>
      </c>
      <c r="AE132" s="5" t="s">
        <v>5</v>
      </c>
      <c r="AF132" s="5" t="s">
        <v>6</v>
      </c>
      <c r="AG132" s="5" t="s">
        <v>7</v>
      </c>
      <c r="AH132" s="5" t="s">
        <v>8</v>
      </c>
      <c r="AI132" t="s">
        <v>9</v>
      </c>
      <c r="BJ132" t="s">
        <v>26</v>
      </c>
      <c r="BK132" t="s">
        <v>120</v>
      </c>
      <c r="BL132" t="s">
        <v>25</v>
      </c>
      <c r="BM132" s="13" t="s">
        <v>14</v>
      </c>
      <c r="BN132" t="s">
        <v>4</v>
      </c>
      <c r="BO132" s="13" t="s">
        <v>5</v>
      </c>
      <c r="BP132" s="13" t="s">
        <v>6</v>
      </c>
      <c r="BQ132" s="13" t="s">
        <v>7</v>
      </c>
      <c r="BR132" s="13" t="s">
        <v>8</v>
      </c>
      <c r="BS132" t="s">
        <v>9</v>
      </c>
    </row>
    <row r="133" spans="14:73" ht="15.95">
      <c r="O133" t="s">
        <v>10</v>
      </c>
      <c r="P133">
        <v>19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f>SUM(P133:W133)</f>
        <v>21</v>
      </c>
      <c r="AA133" s="5" t="s">
        <v>10</v>
      </c>
      <c r="AB133" s="5">
        <v>25</v>
      </c>
      <c r="AC133" s="5">
        <v>0</v>
      </c>
      <c r="AD133" s="5">
        <v>0</v>
      </c>
      <c r="AE133" s="5">
        <v>2</v>
      </c>
      <c r="AF133" s="5">
        <v>0</v>
      </c>
      <c r="AG133" s="5">
        <v>0</v>
      </c>
      <c r="AH133" s="5">
        <v>0</v>
      </c>
      <c r="AI133" s="5">
        <v>0</v>
      </c>
      <c r="AJ133">
        <f>SUM(AB133:AI133)</f>
        <v>27</v>
      </c>
      <c r="BK133" t="s">
        <v>10</v>
      </c>
      <c r="BL133" s="13">
        <f>AVERAGE(D133,P133,AB133,AN133,AZ133)</f>
        <v>22</v>
      </c>
      <c r="BM133" s="13">
        <f t="shared" ref="BM133:BM135" si="299">AVERAGE(E133,Q133,AC133,AO133,BA133)</f>
        <v>0</v>
      </c>
      <c r="BN133" s="13">
        <f t="shared" ref="BN133:BN135" si="300">AVERAGE(F133,R133,AD133,AP133,BB133)</f>
        <v>0</v>
      </c>
      <c r="BO133" s="13">
        <f t="shared" ref="BO133:BO135" si="301">AVERAGE(G133,S133,AE133,AQ133,BC133)</f>
        <v>1.5</v>
      </c>
      <c r="BP133" s="13">
        <f t="shared" ref="BP133:BP135" si="302">AVERAGE(H133,T133,AF133,AR133,BD133)</f>
        <v>0</v>
      </c>
      <c r="BQ133" s="13">
        <f t="shared" ref="BQ133:BQ135" si="303">AVERAGE(I133,U133,AG133,AS133,BE133)</f>
        <v>0</v>
      </c>
      <c r="BR133" s="13">
        <f t="shared" ref="BR133:BR135" si="304">AVERAGE(J133,V133,AH133,AT133,BF133)</f>
        <v>0</v>
      </c>
      <c r="BS133" s="13">
        <f t="shared" ref="BS133:BS135" si="305">AVERAGE(K133,W133,AI133,AU133,BG133)</f>
        <v>0.5</v>
      </c>
      <c r="BT133">
        <f>SUM(BL133:BS133)</f>
        <v>24</v>
      </c>
      <c r="BU133">
        <f>AVERAGE(L133,X133,AJ133,AV133,BH133)</f>
        <v>24</v>
      </c>
    </row>
    <row r="134" spans="14:73" ht="15.95">
      <c r="O134" t="s">
        <v>11</v>
      </c>
      <c r="P134">
        <v>6</v>
      </c>
      <c r="Q134">
        <v>1</v>
      </c>
      <c r="R134">
        <v>0</v>
      </c>
      <c r="S134">
        <v>0</v>
      </c>
      <c r="T134">
        <v>5</v>
      </c>
      <c r="U134">
        <v>0</v>
      </c>
      <c r="V134">
        <v>0</v>
      </c>
      <c r="W134">
        <v>0</v>
      </c>
      <c r="X134">
        <f t="shared" ref="X134:X135" si="306">SUM(P134:W134)</f>
        <v>12</v>
      </c>
      <c r="AA134" s="5" t="s">
        <v>11</v>
      </c>
      <c r="AB134" s="5">
        <v>1</v>
      </c>
      <c r="AC134" s="5">
        <v>0</v>
      </c>
      <c r="AD134" s="5">
        <v>0</v>
      </c>
      <c r="AE134" s="5">
        <v>0</v>
      </c>
      <c r="AF134" s="5">
        <v>2</v>
      </c>
      <c r="AG134" s="5">
        <v>0</v>
      </c>
      <c r="AH134" s="5">
        <v>0</v>
      </c>
      <c r="AI134" s="5">
        <v>0</v>
      </c>
      <c r="AJ134">
        <f t="shared" ref="AJ134:AJ135" si="307">SUM(AB134:AI134)</f>
        <v>3</v>
      </c>
      <c r="BK134" t="s">
        <v>11</v>
      </c>
      <c r="BL134" s="13">
        <f t="shared" ref="BL134:BL135" si="308">AVERAGE(D134,P134,AB134,AN134,AZ134)</f>
        <v>3.5</v>
      </c>
      <c r="BM134" s="13">
        <f t="shared" si="299"/>
        <v>0.5</v>
      </c>
      <c r="BN134" s="13">
        <f t="shared" si="300"/>
        <v>0</v>
      </c>
      <c r="BO134" s="13">
        <f t="shared" si="301"/>
        <v>0</v>
      </c>
      <c r="BP134" s="13">
        <f t="shared" si="302"/>
        <v>3.5</v>
      </c>
      <c r="BQ134" s="13">
        <f t="shared" si="303"/>
        <v>0</v>
      </c>
      <c r="BR134" s="13">
        <f t="shared" si="304"/>
        <v>0</v>
      </c>
      <c r="BS134" s="13">
        <f t="shared" si="305"/>
        <v>0</v>
      </c>
      <c r="BT134">
        <f t="shared" ref="BT134:BT135" si="309">SUM(BL134:BS134)</f>
        <v>7.5</v>
      </c>
      <c r="BU134">
        <f t="shared" ref="BU134:BU136" si="310">AVERAGE(L134,X134,AJ134,AV134,BH134)</f>
        <v>7.5</v>
      </c>
    </row>
    <row r="135" spans="14:73" ht="15.95">
      <c r="O135" t="s">
        <v>12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f t="shared" si="306"/>
        <v>1</v>
      </c>
      <c r="AA135" t="s">
        <v>12</v>
      </c>
      <c r="AB135">
        <v>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f t="shared" si="307"/>
        <v>6</v>
      </c>
      <c r="BK135" t="s">
        <v>12</v>
      </c>
      <c r="BL135" s="13">
        <f t="shared" si="308"/>
        <v>3.5</v>
      </c>
      <c r="BM135" s="13">
        <f t="shared" si="299"/>
        <v>0</v>
      </c>
      <c r="BN135" s="13">
        <f t="shared" si="300"/>
        <v>0</v>
      </c>
      <c r="BO135" s="13">
        <f t="shared" si="301"/>
        <v>0</v>
      </c>
      <c r="BP135" s="13">
        <f t="shared" si="302"/>
        <v>0</v>
      </c>
      <c r="BQ135" s="13">
        <f t="shared" si="303"/>
        <v>0</v>
      </c>
      <c r="BR135" s="13">
        <f t="shared" si="304"/>
        <v>0</v>
      </c>
      <c r="BS135" s="13">
        <f t="shared" si="305"/>
        <v>0</v>
      </c>
      <c r="BT135">
        <f t="shared" si="309"/>
        <v>3.5</v>
      </c>
      <c r="BU135">
        <f t="shared" si="310"/>
        <v>3.5</v>
      </c>
    </row>
    <row r="136" spans="14:73" ht="15.95">
      <c r="X136">
        <f>SUM(X133:X135)</f>
        <v>34</v>
      </c>
      <c r="AJ136">
        <f>SUM(AJ133:AJ135)</f>
        <v>36</v>
      </c>
      <c r="BT136" s="13">
        <f t="shared" ref="BT136" si="311">SUM(BT133,BT134,BT135)</f>
        <v>35</v>
      </c>
      <c r="BU136">
        <f t="shared" si="310"/>
        <v>35</v>
      </c>
    </row>
    <row r="137" spans="14:73" ht="15.95">
      <c r="BK137" s="13"/>
      <c r="BM137" s="13"/>
      <c r="BO137" s="13"/>
      <c r="BP137" s="13"/>
      <c r="BQ137" s="13"/>
      <c r="BR137" s="1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841A-67F4-450D-99D4-F428075C5826}">
  <dimension ref="A1:AJ53"/>
  <sheetViews>
    <sheetView topLeftCell="K1" workbookViewId="0">
      <selection activeCell="C22" sqref="C22"/>
    </sheetView>
  </sheetViews>
  <sheetFormatPr defaultColWidth="8.85546875" defaultRowHeight="15"/>
  <sheetData>
    <row r="1" spans="1:36">
      <c r="A1" t="s">
        <v>91</v>
      </c>
    </row>
    <row r="2" spans="1:36" ht="15.95">
      <c r="B2" t="s">
        <v>20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N2" t="s">
        <v>0</v>
      </c>
      <c r="O2" t="s">
        <v>121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AA2" s="5" t="s">
        <v>121</v>
      </c>
      <c r="AB2" s="5" t="s">
        <v>122</v>
      </c>
      <c r="AC2" s="5" t="s">
        <v>14</v>
      </c>
      <c r="AD2" t="s">
        <v>4</v>
      </c>
      <c r="AE2" s="5" t="s">
        <v>5</v>
      </c>
      <c r="AF2" s="5" t="s">
        <v>6</v>
      </c>
      <c r="AG2" s="5" t="s">
        <v>7</v>
      </c>
      <c r="AH2" s="5" t="s">
        <v>8</v>
      </c>
      <c r="AI2" t="s">
        <v>9</v>
      </c>
    </row>
    <row r="3" spans="1:36" ht="15.95">
      <c r="C3" t="s">
        <v>10</v>
      </c>
      <c r="L3">
        <f>SUM(D3:K3)</f>
        <v>0</v>
      </c>
      <c r="O3" t="s">
        <v>10</v>
      </c>
      <c r="P3">
        <v>34</v>
      </c>
      <c r="Q3">
        <v>9</v>
      </c>
      <c r="S3">
        <v>2</v>
      </c>
      <c r="V3">
        <v>1</v>
      </c>
      <c r="W3">
        <v>3</v>
      </c>
      <c r="X3">
        <f>SUM(P3:W3)</f>
        <v>49</v>
      </c>
      <c r="AA3" s="5" t="s">
        <v>10</v>
      </c>
      <c r="AB3" s="5">
        <v>30</v>
      </c>
      <c r="AC3" s="5">
        <v>1</v>
      </c>
      <c r="AD3" s="5"/>
      <c r="AE3" s="5">
        <v>1</v>
      </c>
      <c r="AF3" s="5"/>
      <c r="AG3" s="5"/>
      <c r="AH3" s="5"/>
      <c r="AI3" s="5"/>
      <c r="AJ3">
        <f>SUM(AB3:AI3)</f>
        <v>32</v>
      </c>
    </row>
    <row r="4" spans="1:36" ht="15.95">
      <c r="C4" t="s">
        <v>11</v>
      </c>
      <c r="L4">
        <f t="shared" ref="L4:L5" si="0">SUM(D4:K4)</f>
        <v>0</v>
      </c>
      <c r="O4" t="s">
        <v>11</v>
      </c>
      <c r="P4">
        <v>3</v>
      </c>
      <c r="X4">
        <f t="shared" ref="X4:X5" si="1">SUM(P4:W4)</f>
        <v>3</v>
      </c>
      <c r="AA4" s="5" t="s">
        <v>11</v>
      </c>
      <c r="AB4" s="5">
        <v>1</v>
      </c>
      <c r="AC4" s="5"/>
      <c r="AD4" s="5">
        <v>1</v>
      </c>
      <c r="AE4" s="5"/>
      <c r="AF4" s="5"/>
      <c r="AG4" s="5"/>
      <c r="AH4" s="5"/>
      <c r="AI4" s="5"/>
      <c r="AJ4">
        <f t="shared" ref="AJ4:AJ5" si="2">SUM(AB4:AI4)</f>
        <v>2</v>
      </c>
    </row>
    <row r="5" spans="1:36">
      <c r="C5" t="s">
        <v>12</v>
      </c>
      <c r="L5">
        <f t="shared" si="0"/>
        <v>0</v>
      </c>
      <c r="O5" t="s">
        <v>12</v>
      </c>
      <c r="P5">
        <v>3</v>
      </c>
      <c r="X5">
        <f t="shared" si="1"/>
        <v>3</v>
      </c>
      <c r="AA5" t="s">
        <v>12</v>
      </c>
      <c r="AB5">
        <v>3</v>
      </c>
      <c r="AJ5">
        <f t="shared" si="2"/>
        <v>3</v>
      </c>
    </row>
    <row r="6" spans="1:36">
      <c r="L6">
        <f>SUM(L3:L5)</f>
        <v>0</v>
      </c>
      <c r="X6">
        <f>SUM(X3:X5)</f>
        <v>55</v>
      </c>
      <c r="AJ6">
        <f>SUM(AJ3:AJ5)</f>
        <v>37</v>
      </c>
    </row>
    <row r="7" spans="1:36">
      <c r="B7" t="s">
        <v>20</v>
      </c>
      <c r="C7" t="s">
        <v>123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N7" t="s">
        <v>0</v>
      </c>
      <c r="O7" t="s">
        <v>123</v>
      </c>
      <c r="P7" t="s">
        <v>2</v>
      </c>
      <c r="Q7" t="s">
        <v>3</v>
      </c>
      <c r="R7" t="s">
        <v>4</v>
      </c>
      <c r="S7" t="s">
        <v>5</v>
      </c>
      <c r="T7" t="s">
        <v>6</v>
      </c>
      <c r="U7" t="s">
        <v>7</v>
      </c>
      <c r="V7" t="s">
        <v>8</v>
      </c>
      <c r="W7" t="s">
        <v>9</v>
      </c>
    </row>
    <row r="8" spans="1:36">
      <c r="C8" t="s">
        <v>10</v>
      </c>
      <c r="D8">
        <v>28</v>
      </c>
      <c r="E8">
        <v>3</v>
      </c>
      <c r="F8">
        <v>2</v>
      </c>
      <c r="G8">
        <v>3</v>
      </c>
      <c r="L8">
        <f>SUM(D8:K8)</f>
        <v>36</v>
      </c>
      <c r="O8" t="s">
        <v>10</v>
      </c>
      <c r="P8">
        <v>22</v>
      </c>
      <c r="Q8">
        <v>5</v>
      </c>
      <c r="S8">
        <v>3</v>
      </c>
      <c r="T8">
        <v>1</v>
      </c>
      <c r="X8">
        <f>SUM(P8:W8)</f>
        <v>31</v>
      </c>
    </row>
    <row r="9" spans="1:36">
      <c r="C9" t="s">
        <v>11</v>
      </c>
      <c r="D9">
        <v>14</v>
      </c>
      <c r="F9">
        <v>2</v>
      </c>
      <c r="H9">
        <v>1</v>
      </c>
      <c r="J9">
        <v>1</v>
      </c>
      <c r="L9">
        <f t="shared" ref="L9:L10" si="3">SUM(D9:K9)</f>
        <v>18</v>
      </c>
      <c r="O9" t="s">
        <v>11</v>
      </c>
      <c r="P9">
        <v>4</v>
      </c>
      <c r="T9">
        <v>1</v>
      </c>
      <c r="X9">
        <f t="shared" ref="X9:X10" si="4">SUM(P9:W9)</f>
        <v>5</v>
      </c>
    </row>
    <row r="10" spans="1:36">
      <c r="C10" t="s">
        <v>12</v>
      </c>
      <c r="D10">
        <v>2</v>
      </c>
      <c r="L10">
        <f t="shared" si="3"/>
        <v>2</v>
      </c>
      <c r="O10" t="s">
        <v>12</v>
      </c>
      <c r="P10">
        <v>1</v>
      </c>
      <c r="X10">
        <f t="shared" si="4"/>
        <v>1</v>
      </c>
    </row>
    <row r="11" spans="1:36">
      <c r="L11">
        <f>SUM(L8:L10)</f>
        <v>56</v>
      </c>
      <c r="X11">
        <f>SUM(X8:X10)</f>
        <v>37</v>
      </c>
    </row>
    <row r="12" spans="1:36">
      <c r="B12" t="s">
        <v>20</v>
      </c>
      <c r="C12" t="s">
        <v>124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N12" t="s">
        <v>0</v>
      </c>
      <c r="O12" t="s">
        <v>124</v>
      </c>
      <c r="P12" t="s">
        <v>2</v>
      </c>
      <c r="Q12" t="s">
        <v>3</v>
      </c>
      <c r="R12" t="s">
        <v>4</v>
      </c>
      <c r="S12" t="s">
        <v>5</v>
      </c>
      <c r="T12" t="s">
        <v>6</v>
      </c>
      <c r="U12" t="s">
        <v>7</v>
      </c>
      <c r="V12" t="s">
        <v>8</v>
      </c>
      <c r="W12" t="s">
        <v>9</v>
      </c>
    </row>
    <row r="13" spans="1:36">
      <c r="C13" t="s">
        <v>10</v>
      </c>
      <c r="D13">
        <v>32</v>
      </c>
      <c r="E13">
        <v>2</v>
      </c>
      <c r="G13">
        <v>4</v>
      </c>
      <c r="H13">
        <v>1</v>
      </c>
      <c r="L13">
        <f>SUM(D13:K13)</f>
        <v>39</v>
      </c>
      <c r="O13" t="s">
        <v>10</v>
      </c>
      <c r="P13">
        <v>18</v>
      </c>
      <c r="Q13">
        <v>3</v>
      </c>
      <c r="S13">
        <v>3</v>
      </c>
      <c r="T13">
        <v>3</v>
      </c>
      <c r="V13">
        <v>1</v>
      </c>
      <c r="W13">
        <v>1</v>
      </c>
      <c r="X13">
        <f>SUM(P13:W13)</f>
        <v>29</v>
      </c>
    </row>
    <row r="14" spans="1:36">
      <c r="C14" t="s">
        <v>11</v>
      </c>
      <c r="D14">
        <v>14</v>
      </c>
      <c r="H14">
        <v>2</v>
      </c>
      <c r="J14">
        <v>1</v>
      </c>
      <c r="L14">
        <f t="shared" ref="L14:L15" si="5">SUM(D14:K14)</f>
        <v>17</v>
      </c>
      <c r="O14" t="s">
        <v>11</v>
      </c>
      <c r="T14">
        <v>3</v>
      </c>
      <c r="X14">
        <f t="shared" ref="X14:X15" si="6">SUM(P14:W14)</f>
        <v>3</v>
      </c>
    </row>
    <row r="15" spans="1:36">
      <c r="C15" t="s">
        <v>12</v>
      </c>
      <c r="D15">
        <v>4</v>
      </c>
      <c r="L15">
        <f t="shared" si="5"/>
        <v>4</v>
      </c>
      <c r="O15" t="s">
        <v>12</v>
      </c>
      <c r="P15">
        <v>1</v>
      </c>
      <c r="X15">
        <f t="shared" si="6"/>
        <v>1</v>
      </c>
    </row>
    <row r="16" spans="1:36">
      <c r="L16">
        <f>SUM(L13:L15)</f>
        <v>60</v>
      </c>
      <c r="X16">
        <f>SUM(X13:X15)</f>
        <v>33</v>
      </c>
    </row>
    <row r="17" spans="2:36" ht="15.95">
      <c r="B17" t="s">
        <v>20</v>
      </c>
      <c r="C17" t="s">
        <v>125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N17" t="s">
        <v>0</v>
      </c>
      <c r="O17" t="s">
        <v>126</v>
      </c>
      <c r="P17" t="s">
        <v>2</v>
      </c>
      <c r="Q17" t="s">
        <v>3</v>
      </c>
      <c r="R17" t="s">
        <v>4</v>
      </c>
      <c r="S17" t="s">
        <v>5</v>
      </c>
      <c r="T17" t="s">
        <v>6</v>
      </c>
      <c r="U17" t="s">
        <v>7</v>
      </c>
      <c r="V17" t="s">
        <v>8</v>
      </c>
      <c r="W17" t="s">
        <v>9</v>
      </c>
      <c r="AA17" s="5" t="s">
        <v>126</v>
      </c>
      <c r="AB17" s="5" t="s">
        <v>122</v>
      </c>
      <c r="AC17" s="5" t="s">
        <v>14</v>
      </c>
      <c r="AD17" t="s">
        <v>4</v>
      </c>
      <c r="AE17" s="5" t="s">
        <v>5</v>
      </c>
      <c r="AF17" s="5" t="s">
        <v>6</v>
      </c>
      <c r="AG17" s="5" t="s">
        <v>7</v>
      </c>
      <c r="AH17" s="5" t="s">
        <v>8</v>
      </c>
      <c r="AI17" t="s">
        <v>9</v>
      </c>
    </row>
    <row r="18" spans="2:36" ht="15.95">
      <c r="C18" t="s">
        <v>10</v>
      </c>
      <c r="D18">
        <v>16</v>
      </c>
      <c r="E18">
        <v>2</v>
      </c>
      <c r="J18">
        <v>1</v>
      </c>
      <c r="L18">
        <f>SUM(D18:K18)</f>
        <v>19</v>
      </c>
      <c r="O18" t="s">
        <v>10</v>
      </c>
      <c r="P18">
        <v>45</v>
      </c>
      <c r="Q18">
        <v>3</v>
      </c>
      <c r="S18">
        <v>3</v>
      </c>
      <c r="T18">
        <v>2</v>
      </c>
      <c r="X18">
        <f>SUM(P18:W18)</f>
        <v>53</v>
      </c>
      <c r="AA18" s="5" t="s">
        <v>10</v>
      </c>
      <c r="AB18" s="5">
        <v>60</v>
      </c>
      <c r="AC18" s="5">
        <v>3</v>
      </c>
      <c r="AD18" s="5"/>
      <c r="AE18" s="5">
        <v>1</v>
      </c>
      <c r="AF18" s="5"/>
      <c r="AG18" s="5"/>
      <c r="AH18" s="5"/>
      <c r="AI18" s="5"/>
      <c r="AJ18">
        <f>SUM(AB18:AI18)</f>
        <v>64</v>
      </c>
    </row>
    <row r="19" spans="2:36" ht="15.95">
      <c r="C19" t="s">
        <v>11</v>
      </c>
      <c r="D19">
        <v>13</v>
      </c>
      <c r="E19">
        <v>3</v>
      </c>
      <c r="F19">
        <v>1</v>
      </c>
      <c r="H19">
        <v>1</v>
      </c>
      <c r="L19">
        <f t="shared" ref="L19:L20" si="7">SUM(D19:K19)</f>
        <v>18</v>
      </c>
      <c r="O19" t="s">
        <v>11</v>
      </c>
      <c r="P19">
        <v>8</v>
      </c>
      <c r="T19">
        <v>3</v>
      </c>
      <c r="X19">
        <f t="shared" ref="X19:X20" si="8">SUM(P19:W19)</f>
        <v>11</v>
      </c>
      <c r="AA19" s="5" t="s">
        <v>11</v>
      </c>
      <c r="AB19" s="5">
        <v>11</v>
      </c>
      <c r="AC19" s="5"/>
      <c r="AD19" s="5"/>
      <c r="AE19" s="5"/>
      <c r="AF19" s="5"/>
      <c r="AG19" s="5"/>
      <c r="AH19" s="5"/>
      <c r="AI19" s="5"/>
      <c r="AJ19">
        <f t="shared" ref="AJ19:AJ20" si="9">SUM(AB19:AI19)</f>
        <v>11</v>
      </c>
    </row>
    <row r="20" spans="2:36">
      <c r="C20" t="s">
        <v>12</v>
      </c>
      <c r="D20">
        <v>10</v>
      </c>
      <c r="E20">
        <v>1</v>
      </c>
      <c r="H20">
        <v>4</v>
      </c>
      <c r="L20">
        <f t="shared" si="7"/>
        <v>15</v>
      </c>
      <c r="O20" t="s">
        <v>12</v>
      </c>
      <c r="P20">
        <v>4</v>
      </c>
      <c r="X20">
        <f t="shared" si="8"/>
        <v>4</v>
      </c>
      <c r="AA20" t="s">
        <v>12</v>
      </c>
      <c r="AJ20">
        <f t="shared" si="9"/>
        <v>0</v>
      </c>
    </row>
    <row r="21" spans="2:36">
      <c r="L21">
        <f>SUM(L18:L20)</f>
        <v>52</v>
      </c>
      <c r="X21">
        <f>SUM(X18:X20)</f>
        <v>68</v>
      </c>
      <c r="AJ21">
        <f>SUM(AJ18:AJ20)</f>
        <v>75</v>
      </c>
    </row>
    <row r="22" spans="2:36" ht="15.95">
      <c r="B22" t="s">
        <v>20</v>
      </c>
      <c r="C22" t="s">
        <v>127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N22" t="s">
        <v>0</v>
      </c>
      <c r="O22" t="s">
        <v>128</v>
      </c>
      <c r="P22" t="s">
        <v>2</v>
      </c>
      <c r="Q22" t="s">
        <v>3</v>
      </c>
      <c r="R22" t="s">
        <v>4</v>
      </c>
      <c r="S22" t="s">
        <v>5</v>
      </c>
      <c r="T22" t="s">
        <v>6</v>
      </c>
      <c r="U22" t="s">
        <v>7</v>
      </c>
      <c r="V22" t="s">
        <v>8</v>
      </c>
      <c r="W22" t="s">
        <v>9</v>
      </c>
      <c r="AA22" s="5" t="s">
        <v>128</v>
      </c>
      <c r="AB22" s="5" t="s">
        <v>122</v>
      </c>
      <c r="AC22" s="5" t="s">
        <v>14</v>
      </c>
      <c r="AD22" t="s">
        <v>4</v>
      </c>
      <c r="AE22" s="5" t="s">
        <v>5</v>
      </c>
      <c r="AF22" s="5" t="s">
        <v>6</v>
      </c>
      <c r="AG22" s="5" t="s">
        <v>7</v>
      </c>
      <c r="AH22" s="5" t="s">
        <v>8</v>
      </c>
      <c r="AI22" t="s">
        <v>9</v>
      </c>
    </row>
    <row r="23" spans="2:36" ht="15.95">
      <c r="C23" t="s">
        <v>10</v>
      </c>
      <c r="D23">
        <v>28</v>
      </c>
      <c r="E23">
        <v>1</v>
      </c>
      <c r="L23">
        <f>SUM(D23:K23)</f>
        <v>29</v>
      </c>
      <c r="O23" t="s">
        <v>10</v>
      </c>
      <c r="P23">
        <v>40</v>
      </c>
      <c r="Q23">
        <v>8</v>
      </c>
      <c r="S23">
        <v>4</v>
      </c>
      <c r="U23">
        <v>2</v>
      </c>
      <c r="V23">
        <v>1</v>
      </c>
      <c r="W23">
        <v>1</v>
      </c>
      <c r="X23">
        <f>SUM(P23:W23)</f>
        <v>56</v>
      </c>
      <c r="AA23" s="5" t="s">
        <v>10</v>
      </c>
      <c r="AB23" s="5">
        <v>76</v>
      </c>
      <c r="AC23" s="5">
        <v>3</v>
      </c>
      <c r="AD23" s="5">
        <v>1</v>
      </c>
      <c r="AE23" s="5">
        <v>5</v>
      </c>
      <c r="AF23" s="5"/>
      <c r="AG23" s="5">
        <v>2</v>
      </c>
      <c r="AH23" s="5"/>
      <c r="AI23" s="5"/>
      <c r="AJ23">
        <f>SUM(AB23:AI23)</f>
        <v>87</v>
      </c>
    </row>
    <row r="24" spans="2:36" ht="15.95">
      <c r="C24" t="s">
        <v>11</v>
      </c>
      <c r="D24">
        <v>30</v>
      </c>
      <c r="E24">
        <v>17</v>
      </c>
      <c r="H24">
        <v>2</v>
      </c>
      <c r="L24">
        <f t="shared" ref="L24:L25" si="10">SUM(D24:K24)</f>
        <v>49</v>
      </c>
      <c r="O24" t="s">
        <v>11</v>
      </c>
      <c r="P24">
        <v>1</v>
      </c>
      <c r="Q24">
        <v>3</v>
      </c>
      <c r="X24">
        <f t="shared" ref="X24:X25" si="11">SUM(P24:W24)</f>
        <v>4</v>
      </c>
      <c r="AA24" s="5" t="s">
        <v>11</v>
      </c>
      <c r="AB24" s="5"/>
      <c r="AC24" s="5">
        <v>1</v>
      </c>
      <c r="AD24" s="5">
        <v>1</v>
      </c>
      <c r="AE24" s="5"/>
      <c r="AF24" s="5"/>
      <c r="AG24" s="5"/>
      <c r="AH24" s="5"/>
      <c r="AI24" s="5"/>
      <c r="AJ24">
        <f t="shared" ref="AJ24:AJ25" si="12">SUM(AB24:AI24)</f>
        <v>2</v>
      </c>
    </row>
    <row r="25" spans="2:36">
      <c r="C25" t="s">
        <v>12</v>
      </c>
      <c r="D25">
        <v>8</v>
      </c>
      <c r="E25">
        <v>1</v>
      </c>
      <c r="H25">
        <v>1</v>
      </c>
      <c r="L25">
        <f t="shared" si="10"/>
        <v>10</v>
      </c>
      <c r="O25" t="s">
        <v>12</v>
      </c>
      <c r="P25">
        <v>10</v>
      </c>
      <c r="X25">
        <f t="shared" si="11"/>
        <v>10</v>
      </c>
      <c r="AA25" t="s">
        <v>12</v>
      </c>
      <c r="AB25">
        <v>19</v>
      </c>
      <c r="AJ25">
        <f t="shared" si="12"/>
        <v>19</v>
      </c>
    </row>
    <row r="26" spans="2:36">
      <c r="L26">
        <f>SUM(L23:L25)</f>
        <v>88</v>
      </c>
      <c r="X26">
        <f>SUM(X23:X25)</f>
        <v>70</v>
      </c>
      <c r="AJ26">
        <f>SUM(AJ23:AJ25)</f>
        <v>108</v>
      </c>
    </row>
    <row r="27" spans="2:36" ht="15.95">
      <c r="B27" t="s">
        <v>20</v>
      </c>
      <c r="C27" t="s">
        <v>127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N27" t="s">
        <v>0</v>
      </c>
      <c r="O27" t="s">
        <v>129</v>
      </c>
      <c r="P27" t="s">
        <v>2</v>
      </c>
      <c r="Q27" t="s">
        <v>3</v>
      </c>
      <c r="R27" t="s">
        <v>4</v>
      </c>
      <c r="S27" t="s">
        <v>5</v>
      </c>
      <c r="T27" t="s">
        <v>6</v>
      </c>
      <c r="U27" t="s">
        <v>7</v>
      </c>
      <c r="V27" t="s">
        <v>8</v>
      </c>
      <c r="W27" t="s">
        <v>9</v>
      </c>
      <c r="AA27" s="5" t="s">
        <v>129</v>
      </c>
      <c r="AB27" s="5" t="s">
        <v>122</v>
      </c>
      <c r="AC27" s="5" t="s">
        <v>14</v>
      </c>
      <c r="AD27" t="s">
        <v>4</v>
      </c>
      <c r="AE27" s="5" t="s">
        <v>5</v>
      </c>
      <c r="AF27" s="5" t="s">
        <v>6</v>
      </c>
      <c r="AG27" s="5" t="s">
        <v>7</v>
      </c>
      <c r="AH27" s="5" t="s">
        <v>8</v>
      </c>
      <c r="AI27" t="s">
        <v>9</v>
      </c>
    </row>
    <row r="28" spans="2:36" ht="15.95">
      <c r="C28" t="s">
        <v>10</v>
      </c>
      <c r="D28">
        <v>22</v>
      </c>
      <c r="E28">
        <v>1</v>
      </c>
      <c r="L28">
        <f>SUM(D28:K28)</f>
        <v>23</v>
      </c>
      <c r="O28" t="s">
        <v>10</v>
      </c>
      <c r="P28">
        <v>23</v>
      </c>
      <c r="Q28">
        <v>3</v>
      </c>
      <c r="S28">
        <v>3</v>
      </c>
      <c r="T28">
        <v>1</v>
      </c>
      <c r="V28">
        <v>1</v>
      </c>
      <c r="W28">
        <v>1</v>
      </c>
      <c r="X28">
        <f>SUM(P28:W28)</f>
        <v>32</v>
      </c>
      <c r="AA28" s="5" t="s">
        <v>10</v>
      </c>
      <c r="AB28" s="5">
        <v>25</v>
      </c>
      <c r="AC28" s="5"/>
      <c r="AD28" s="5"/>
      <c r="AE28" s="5">
        <v>2</v>
      </c>
      <c r="AF28" s="5"/>
      <c r="AG28" s="5"/>
      <c r="AH28" s="5">
        <v>1</v>
      </c>
      <c r="AI28" s="5">
        <v>1</v>
      </c>
      <c r="AJ28">
        <f>SUM(AB28:AI28)</f>
        <v>29</v>
      </c>
    </row>
    <row r="29" spans="2:36" ht="15.95">
      <c r="C29" t="s">
        <v>11</v>
      </c>
      <c r="D29">
        <v>18</v>
      </c>
      <c r="E29">
        <v>17</v>
      </c>
      <c r="H29">
        <v>1</v>
      </c>
      <c r="L29">
        <f t="shared" ref="L29:L30" si="13">SUM(D29:K29)</f>
        <v>36</v>
      </c>
      <c r="O29" t="s">
        <v>11</v>
      </c>
      <c r="P29">
        <v>2</v>
      </c>
      <c r="V29">
        <v>1</v>
      </c>
      <c r="X29">
        <f t="shared" ref="X29:X30" si="14">SUM(P29:W29)</f>
        <v>3</v>
      </c>
      <c r="AA29" s="5" t="s">
        <v>11</v>
      </c>
      <c r="AB29" s="5"/>
      <c r="AC29" s="5"/>
      <c r="AD29" s="5"/>
      <c r="AE29" s="5"/>
      <c r="AF29" s="5"/>
      <c r="AG29" s="5"/>
      <c r="AH29" s="5"/>
      <c r="AI29" s="5"/>
      <c r="AJ29">
        <f t="shared" ref="AJ29:AJ30" si="15">SUM(AB29:AI29)</f>
        <v>0</v>
      </c>
    </row>
    <row r="30" spans="2:36">
      <c r="C30" t="s">
        <v>12</v>
      </c>
      <c r="D30">
        <v>7</v>
      </c>
      <c r="E30">
        <v>1</v>
      </c>
      <c r="H30">
        <v>1</v>
      </c>
      <c r="L30">
        <f t="shared" si="13"/>
        <v>9</v>
      </c>
      <c r="O30" t="s">
        <v>12</v>
      </c>
      <c r="P30">
        <v>5</v>
      </c>
      <c r="X30">
        <f t="shared" si="14"/>
        <v>5</v>
      </c>
      <c r="AA30" t="s">
        <v>12</v>
      </c>
      <c r="AB30">
        <v>6</v>
      </c>
      <c r="AJ30">
        <f t="shared" si="15"/>
        <v>6</v>
      </c>
    </row>
    <row r="31" spans="2:36">
      <c r="L31">
        <f>SUM(L28:L30)</f>
        <v>68</v>
      </c>
      <c r="X31">
        <f>SUM(X28:X30)</f>
        <v>40</v>
      </c>
      <c r="AJ31">
        <f>SUM(AJ28:AJ30)</f>
        <v>35</v>
      </c>
    </row>
    <row r="32" spans="2:36" ht="15.95">
      <c r="B32" t="s">
        <v>20</v>
      </c>
      <c r="C32" t="s">
        <v>130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N32" t="s">
        <v>0</v>
      </c>
      <c r="O32" t="s">
        <v>131</v>
      </c>
      <c r="P32" t="s">
        <v>2</v>
      </c>
      <c r="Q32" t="s">
        <v>3</v>
      </c>
      <c r="R32" t="s">
        <v>4</v>
      </c>
      <c r="S32" t="s">
        <v>5</v>
      </c>
      <c r="T32" t="s">
        <v>6</v>
      </c>
      <c r="U32" t="s">
        <v>7</v>
      </c>
      <c r="V32" t="s">
        <v>8</v>
      </c>
      <c r="W32" t="s">
        <v>9</v>
      </c>
      <c r="AA32" s="5" t="s">
        <v>131</v>
      </c>
      <c r="AB32" s="5" t="s">
        <v>122</v>
      </c>
      <c r="AC32" s="5" t="s">
        <v>14</v>
      </c>
      <c r="AD32" t="s">
        <v>4</v>
      </c>
      <c r="AE32" s="5" t="s">
        <v>5</v>
      </c>
      <c r="AF32" s="5" t="s">
        <v>6</v>
      </c>
      <c r="AG32" s="5" t="s">
        <v>7</v>
      </c>
      <c r="AH32" s="5" t="s">
        <v>8</v>
      </c>
      <c r="AI32" t="s">
        <v>9</v>
      </c>
    </row>
    <row r="33" spans="2:36" ht="15.95">
      <c r="C33" t="s">
        <v>10</v>
      </c>
      <c r="D33">
        <v>36</v>
      </c>
      <c r="E33">
        <v>3</v>
      </c>
      <c r="G33">
        <v>3</v>
      </c>
      <c r="H33">
        <v>1</v>
      </c>
      <c r="J33">
        <v>1</v>
      </c>
      <c r="L33">
        <f>SUM(D33:K33)</f>
        <v>44</v>
      </c>
      <c r="O33" t="s">
        <v>10</v>
      </c>
      <c r="P33">
        <v>58</v>
      </c>
      <c r="Q33">
        <v>1</v>
      </c>
      <c r="S33">
        <v>3</v>
      </c>
      <c r="W33">
        <v>4</v>
      </c>
      <c r="X33">
        <f>SUM(P33:W33)</f>
        <v>66</v>
      </c>
      <c r="AA33" s="5" t="s">
        <v>10</v>
      </c>
      <c r="AB33" s="5">
        <v>75</v>
      </c>
      <c r="AC33" s="5">
        <v>2</v>
      </c>
      <c r="AD33" s="5">
        <v>1</v>
      </c>
      <c r="AE33" s="5">
        <v>2</v>
      </c>
      <c r="AF33" s="5"/>
      <c r="AG33" s="5"/>
      <c r="AH33" s="5"/>
      <c r="AI33" s="5"/>
      <c r="AJ33">
        <f>SUM(AB33:AI33)</f>
        <v>80</v>
      </c>
    </row>
    <row r="34" spans="2:36" ht="15.95">
      <c r="C34" t="s">
        <v>11</v>
      </c>
      <c r="D34">
        <v>23</v>
      </c>
      <c r="E34">
        <v>6</v>
      </c>
      <c r="H34">
        <v>10</v>
      </c>
      <c r="L34">
        <f t="shared" ref="L34:L35" si="16">SUM(D34:K34)</f>
        <v>39</v>
      </c>
      <c r="O34" t="s">
        <v>11</v>
      </c>
      <c r="P34">
        <v>12</v>
      </c>
      <c r="Q34">
        <v>2</v>
      </c>
      <c r="T34">
        <v>1</v>
      </c>
      <c r="V34">
        <v>1</v>
      </c>
      <c r="X34">
        <f t="shared" ref="X34:X35" si="17">SUM(P34:W34)</f>
        <v>16</v>
      </c>
      <c r="AA34" s="5" t="s">
        <v>11</v>
      </c>
      <c r="AB34" s="5"/>
      <c r="AC34" s="5"/>
      <c r="AD34" s="5"/>
      <c r="AE34" s="5"/>
      <c r="AF34" s="5"/>
      <c r="AG34" s="5"/>
      <c r="AH34" s="5"/>
      <c r="AI34" s="5">
        <v>3</v>
      </c>
      <c r="AJ34">
        <f t="shared" ref="AJ34:AJ35" si="18">SUM(AB34:AI34)</f>
        <v>3</v>
      </c>
    </row>
    <row r="35" spans="2:36">
      <c r="C35" t="s">
        <v>12</v>
      </c>
      <c r="D35">
        <v>2</v>
      </c>
      <c r="E35">
        <v>1</v>
      </c>
      <c r="H35">
        <v>7</v>
      </c>
      <c r="L35">
        <f t="shared" si="16"/>
        <v>10</v>
      </c>
      <c r="O35" t="s">
        <v>12</v>
      </c>
      <c r="P35">
        <v>6</v>
      </c>
      <c r="X35">
        <f t="shared" si="17"/>
        <v>6</v>
      </c>
      <c r="AA35" t="s">
        <v>12</v>
      </c>
      <c r="AB35">
        <v>5</v>
      </c>
      <c r="AJ35">
        <f t="shared" si="18"/>
        <v>5</v>
      </c>
    </row>
    <row r="36" spans="2:36">
      <c r="L36">
        <f>SUM(L33:L35)</f>
        <v>93</v>
      </c>
      <c r="X36">
        <f>SUM(X33:X35)</f>
        <v>88</v>
      </c>
      <c r="AJ36">
        <f>SUM(AJ33:AJ35)</f>
        <v>88</v>
      </c>
    </row>
    <row r="37" spans="2:36" ht="15.95">
      <c r="N37" t="s">
        <v>0</v>
      </c>
      <c r="O37" t="s">
        <v>132</v>
      </c>
      <c r="P37" t="s">
        <v>2</v>
      </c>
      <c r="Q37" t="s">
        <v>3</v>
      </c>
      <c r="R37" t="s">
        <v>4</v>
      </c>
      <c r="S37" t="s">
        <v>5</v>
      </c>
      <c r="T37" t="s">
        <v>6</v>
      </c>
      <c r="U37" t="s">
        <v>7</v>
      </c>
      <c r="V37" t="s">
        <v>8</v>
      </c>
      <c r="W37" t="s">
        <v>9</v>
      </c>
      <c r="AA37" s="5" t="s">
        <v>132</v>
      </c>
      <c r="AB37" s="5" t="s">
        <v>122</v>
      </c>
      <c r="AC37" s="5" t="s">
        <v>14</v>
      </c>
      <c r="AD37" t="s">
        <v>4</v>
      </c>
      <c r="AE37" s="5" t="s">
        <v>5</v>
      </c>
      <c r="AF37" s="5" t="s">
        <v>6</v>
      </c>
      <c r="AG37" s="5" t="s">
        <v>7</v>
      </c>
      <c r="AH37" s="5" t="s">
        <v>8</v>
      </c>
      <c r="AI37" t="s">
        <v>9</v>
      </c>
    </row>
    <row r="38" spans="2:36" ht="15.95">
      <c r="B38" t="s">
        <v>20</v>
      </c>
      <c r="C38" t="s">
        <v>133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O38" t="s">
        <v>10</v>
      </c>
      <c r="P38">
        <v>24</v>
      </c>
      <c r="Q38">
        <v>1</v>
      </c>
      <c r="W38">
        <v>1</v>
      </c>
      <c r="X38">
        <f>SUM(P38:W38)</f>
        <v>26</v>
      </c>
      <c r="AA38" s="5" t="s">
        <v>10</v>
      </c>
      <c r="AB38" s="5">
        <v>23</v>
      </c>
      <c r="AC38" s="5">
        <v>1</v>
      </c>
      <c r="AD38" s="5"/>
      <c r="AE38" s="5">
        <v>1</v>
      </c>
      <c r="AF38" s="5"/>
      <c r="AG38" s="5"/>
      <c r="AH38" s="5"/>
      <c r="AI38" s="5"/>
      <c r="AJ38">
        <f>SUM(AB38:AI38)</f>
        <v>25</v>
      </c>
    </row>
    <row r="39" spans="2:36" ht="15.95">
      <c r="C39" t="s">
        <v>10</v>
      </c>
      <c r="D39">
        <v>15</v>
      </c>
      <c r="J39">
        <v>1</v>
      </c>
      <c r="L39">
        <f>SUM(D39:K39)</f>
        <v>16</v>
      </c>
      <c r="O39" t="s">
        <v>11</v>
      </c>
      <c r="P39">
        <v>3</v>
      </c>
      <c r="T39">
        <v>2</v>
      </c>
      <c r="X39">
        <f t="shared" ref="X39:X40" si="19">SUM(P39:W39)</f>
        <v>5</v>
      </c>
      <c r="AA39" s="5" t="s">
        <v>11</v>
      </c>
      <c r="AB39" s="5">
        <v>6</v>
      </c>
      <c r="AC39" s="5"/>
      <c r="AD39" s="5"/>
      <c r="AE39" s="5"/>
      <c r="AF39" s="5"/>
      <c r="AG39" s="5"/>
      <c r="AH39" s="5"/>
      <c r="AI39" s="5"/>
      <c r="AJ39">
        <f t="shared" ref="AJ39:AJ40" si="20">SUM(AB39:AI39)</f>
        <v>6</v>
      </c>
    </row>
    <row r="40" spans="2:36">
      <c r="C40" t="s">
        <v>11</v>
      </c>
      <c r="D40">
        <v>13</v>
      </c>
      <c r="E40">
        <v>2</v>
      </c>
      <c r="H40">
        <v>5</v>
      </c>
      <c r="L40">
        <f t="shared" ref="L40:L41" si="21">SUM(D40:K40)</f>
        <v>20</v>
      </c>
      <c r="O40" t="s">
        <v>12</v>
      </c>
      <c r="P40">
        <v>2</v>
      </c>
      <c r="X40">
        <f t="shared" si="19"/>
        <v>2</v>
      </c>
      <c r="AA40" t="s">
        <v>12</v>
      </c>
      <c r="AB40">
        <v>6</v>
      </c>
      <c r="AI40">
        <v>1</v>
      </c>
      <c r="AJ40">
        <f t="shared" si="20"/>
        <v>7</v>
      </c>
    </row>
    <row r="41" spans="2:36">
      <c r="C41" t="s">
        <v>12</v>
      </c>
      <c r="D41">
        <v>6</v>
      </c>
      <c r="L41">
        <f t="shared" si="21"/>
        <v>6</v>
      </c>
      <c r="X41">
        <f>SUM(X38:X40)</f>
        <v>33</v>
      </c>
      <c r="AJ41">
        <f>SUM(AJ38:AJ40)</f>
        <v>38</v>
      </c>
    </row>
    <row r="42" spans="2:36">
      <c r="L42">
        <f>SUM(L39:L41)</f>
        <v>42</v>
      </c>
    </row>
    <row r="43" spans="2:36">
      <c r="B43" t="s">
        <v>20</v>
      </c>
      <c r="C43" t="s">
        <v>134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</row>
    <row r="44" spans="2:36">
      <c r="C44" t="s">
        <v>10</v>
      </c>
      <c r="D44">
        <v>48</v>
      </c>
      <c r="G44">
        <v>1</v>
      </c>
      <c r="H44">
        <v>3</v>
      </c>
      <c r="L44">
        <f>SUM(D44:K44)</f>
        <v>52</v>
      </c>
    </row>
    <row r="45" spans="2:36">
      <c r="C45" t="s">
        <v>11</v>
      </c>
      <c r="D45">
        <v>10</v>
      </c>
      <c r="E45">
        <v>1</v>
      </c>
      <c r="H45">
        <v>9</v>
      </c>
      <c r="L45">
        <f t="shared" ref="L45:L46" si="22">SUM(D45:K45)</f>
        <v>20</v>
      </c>
    </row>
    <row r="46" spans="2:36">
      <c r="C46" t="s">
        <v>12</v>
      </c>
      <c r="D46">
        <v>5</v>
      </c>
      <c r="H46">
        <v>3</v>
      </c>
      <c r="L46">
        <f t="shared" si="22"/>
        <v>8</v>
      </c>
    </row>
    <row r="47" spans="2:36">
      <c r="L47">
        <f>SUM(L44:L46)</f>
        <v>80</v>
      </c>
    </row>
    <row r="49" spans="2:12">
      <c r="B49" t="s">
        <v>20</v>
      </c>
      <c r="C49" t="s">
        <v>135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</row>
    <row r="50" spans="2:12">
      <c r="C50" t="s">
        <v>10</v>
      </c>
      <c r="D50">
        <v>25</v>
      </c>
      <c r="E50">
        <v>2</v>
      </c>
      <c r="H50">
        <v>1</v>
      </c>
      <c r="I50">
        <v>2</v>
      </c>
      <c r="K50">
        <v>1</v>
      </c>
      <c r="L50">
        <f>SUM(D50:K50)</f>
        <v>31</v>
      </c>
    </row>
    <row r="51" spans="2:12">
      <c r="C51" t="s">
        <v>11</v>
      </c>
      <c r="D51">
        <v>11</v>
      </c>
      <c r="E51">
        <v>1</v>
      </c>
      <c r="H51">
        <v>1</v>
      </c>
      <c r="L51">
        <f t="shared" ref="L51:L52" si="23">SUM(D51:K51)</f>
        <v>13</v>
      </c>
    </row>
    <row r="52" spans="2:12">
      <c r="C52" t="s">
        <v>12</v>
      </c>
      <c r="D52">
        <v>6</v>
      </c>
      <c r="H52">
        <v>1</v>
      </c>
      <c r="L52">
        <f t="shared" si="23"/>
        <v>7</v>
      </c>
    </row>
    <row r="53" spans="2:12">
      <c r="L53">
        <f>SUM(L50:L52)</f>
        <v>51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D3AE-164C-439E-ACE7-4C9FF089FB15}">
  <dimension ref="A1:AK129"/>
  <sheetViews>
    <sheetView topLeftCell="V91" zoomScale="150" workbookViewId="0">
      <selection activeCell="AD97" sqref="AD97"/>
    </sheetView>
  </sheetViews>
  <sheetFormatPr defaultColWidth="8.85546875" defaultRowHeight="15"/>
  <cols>
    <col min="1" max="25" width="8.85546875" bestFit="1" customWidth="1"/>
    <col min="26" max="26" width="10.42578125" bestFit="1" customWidth="1"/>
    <col min="27" max="29" width="8.85546875" bestFit="1" customWidth="1"/>
  </cols>
  <sheetData>
    <row r="1" spans="1:33">
      <c r="A1" t="s">
        <v>136</v>
      </c>
    </row>
    <row r="2" spans="1:33">
      <c r="B2" t="s">
        <v>137</v>
      </c>
      <c r="C2" t="s">
        <v>138</v>
      </c>
      <c r="D2" t="s">
        <v>10</v>
      </c>
      <c r="E2" t="s">
        <v>11</v>
      </c>
      <c r="F2" t="s">
        <v>12</v>
      </c>
      <c r="G2" t="s">
        <v>139</v>
      </c>
      <c r="H2" t="s">
        <v>138</v>
      </c>
      <c r="I2" t="s">
        <v>10</v>
      </c>
      <c r="J2" t="s">
        <v>11</v>
      </c>
      <c r="K2" t="s">
        <v>12</v>
      </c>
      <c r="L2" t="s">
        <v>139</v>
      </c>
      <c r="M2" t="s">
        <v>138</v>
      </c>
      <c r="N2" t="s">
        <v>10</v>
      </c>
      <c r="O2" t="s">
        <v>11</v>
      </c>
      <c r="P2" t="s">
        <v>12</v>
      </c>
      <c r="Q2" t="s">
        <v>139</v>
      </c>
      <c r="R2" t="s">
        <v>138</v>
      </c>
      <c r="S2" t="s">
        <v>10</v>
      </c>
      <c r="T2" t="s">
        <v>11</v>
      </c>
      <c r="U2" t="s">
        <v>12</v>
      </c>
      <c r="V2" t="s">
        <v>139</v>
      </c>
      <c r="W2" t="s">
        <v>140</v>
      </c>
      <c r="X2" t="s">
        <v>141</v>
      </c>
      <c r="Y2" t="s">
        <v>142</v>
      </c>
      <c r="Z2" t="s">
        <v>143</v>
      </c>
      <c r="AA2" t="s">
        <v>144</v>
      </c>
    </row>
    <row r="3" spans="1:33">
      <c r="A3" s="1"/>
      <c r="B3" t="s">
        <v>24</v>
      </c>
      <c r="C3" t="s">
        <v>0</v>
      </c>
      <c r="D3">
        <v>33</v>
      </c>
      <c r="E3">
        <v>2</v>
      </c>
      <c r="G3">
        <f>D3+E3+F3</f>
        <v>35</v>
      </c>
      <c r="H3" t="s">
        <v>0</v>
      </c>
      <c r="L3">
        <v>42</v>
      </c>
      <c r="M3" t="s">
        <v>13</v>
      </c>
      <c r="N3">
        <v>16</v>
      </c>
      <c r="O3">
        <v>12</v>
      </c>
      <c r="Q3">
        <f>O3+N3</f>
        <v>28</v>
      </c>
      <c r="W3" s="14">
        <f>AVERAGE(D3,I3,N3,S3)</f>
        <v>24.5</v>
      </c>
      <c r="X3" s="14">
        <f t="shared" ref="X3:X32" si="0">AVERAGE(E3,J3,O3,T3)</f>
        <v>7</v>
      </c>
      <c r="Y3" s="14" t="e">
        <f t="shared" ref="Y3:Y32" si="1">AVERAGE(F3,K3,P3,U3)</f>
        <v>#DIV/0!</v>
      </c>
      <c r="Z3" s="14">
        <f>AVERAGE(G3,L3,Q3,V3)</f>
        <v>35</v>
      </c>
      <c r="AA3" s="6" t="s">
        <v>145</v>
      </c>
      <c r="AB3" s="9">
        <v>45193</v>
      </c>
      <c r="AC3" s="10">
        <v>0.1673611111111111</v>
      </c>
      <c r="AF3" t="s">
        <v>146</v>
      </c>
      <c r="AG3" s="14">
        <f>Z66+Z96+Z114</f>
        <v>6442.666666666667</v>
      </c>
    </row>
    <row r="4" spans="1:33">
      <c r="A4" s="1"/>
      <c r="B4" t="s">
        <v>27</v>
      </c>
      <c r="C4" t="s">
        <v>0</v>
      </c>
      <c r="D4">
        <v>34</v>
      </c>
      <c r="E4">
        <v>7</v>
      </c>
      <c r="G4">
        <f t="shared" ref="G4:G65" si="2">D4+E4+F4</f>
        <v>41</v>
      </c>
      <c r="H4" t="s">
        <v>0</v>
      </c>
      <c r="L4">
        <v>46</v>
      </c>
      <c r="M4" t="s">
        <v>13</v>
      </c>
      <c r="N4">
        <v>31</v>
      </c>
      <c r="O4">
        <v>3</v>
      </c>
      <c r="Q4">
        <f>O4+N4</f>
        <v>34</v>
      </c>
      <c r="W4" s="14">
        <f t="shared" ref="W4:W32" si="3">AVERAGE(D4,I4,N4,S4)</f>
        <v>32.5</v>
      </c>
      <c r="X4" s="14">
        <f t="shared" si="0"/>
        <v>5</v>
      </c>
      <c r="Y4" s="14" t="e">
        <f t="shared" si="1"/>
        <v>#DIV/0!</v>
      </c>
      <c r="Z4" s="14">
        <f t="shared" ref="Z4:Z32" si="4">AVERAGE(G4,L4,Q4,V4)</f>
        <v>40.333333333333336</v>
      </c>
      <c r="AA4" s="6" t="s">
        <v>147</v>
      </c>
      <c r="AB4" s="9">
        <v>45193</v>
      </c>
      <c r="AC4" s="10">
        <v>0.17083333333333334</v>
      </c>
      <c r="AF4" t="s">
        <v>148</v>
      </c>
      <c r="AG4">
        <f>125+142</f>
        <v>267</v>
      </c>
    </row>
    <row r="5" spans="1:33">
      <c r="A5" s="1"/>
      <c r="B5" t="s">
        <v>28</v>
      </c>
      <c r="C5" t="s">
        <v>0</v>
      </c>
      <c r="D5">
        <v>25</v>
      </c>
      <c r="E5">
        <v>7</v>
      </c>
      <c r="G5">
        <f t="shared" si="2"/>
        <v>32</v>
      </c>
      <c r="H5" t="s">
        <v>0</v>
      </c>
      <c r="L5">
        <v>16</v>
      </c>
      <c r="W5" s="14">
        <f t="shared" si="3"/>
        <v>25</v>
      </c>
      <c r="X5" s="14">
        <f t="shared" si="0"/>
        <v>7</v>
      </c>
      <c r="Y5" s="14" t="e">
        <f t="shared" si="1"/>
        <v>#DIV/0!</v>
      </c>
      <c r="Z5" s="14">
        <f t="shared" si="4"/>
        <v>24</v>
      </c>
      <c r="AA5" s="6" t="s">
        <v>149</v>
      </c>
      <c r="AB5" s="9">
        <v>45193</v>
      </c>
      <c r="AC5" s="10">
        <v>0.1736111111111111</v>
      </c>
      <c r="AG5">
        <f>AG4/AG3</f>
        <v>4.1442466887417213E-2</v>
      </c>
    </row>
    <row r="6" spans="1:33">
      <c r="B6" t="s">
        <v>29</v>
      </c>
      <c r="C6" t="s">
        <v>0</v>
      </c>
      <c r="D6">
        <v>14</v>
      </c>
      <c r="E6">
        <v>3</v>
      </c>
      <c r="G6">
        <f t="shared" si="2"/>
        <v>17</v>
      </c>
      <c r="H6" t="s">
        <v>0</v>
      </c>
      <c r="L6">
        <v>10</v>
      </c>
      <c r="W6" s="14">
        <f t="shared" si="3"/>
        <v>14</v>
      </c>
      <c r="X6" s="14">
        <f t="shared" si="0"/>
        <v>3</v>
      </c>
      <c r="Y6" s="14" t="e">
        <f t="shared" si="1"/>
        <v>#DIV/0!</v>
      </c>
      <c r="Z6" s="14">
        <f t="shared" si="4"/>
        <v>13.5</v>
      </c>
      <c r="AA6" s="6" t="s">
        <v>150</v>
      </c>
      <c r="AB6" s="9">
        <v>45207</v>
      </c>
      <c r="AC6" s="10">
        <v>0.46597222222222223</v>
      </c>
      <c r="AF6" t="s">
        <v>151</v>
      </c>
      <c r="AG6" s="14">
        <f>Z66</f>
        <v>3552.7500000000005</v>
      </c>
    </row>
    <row r="7" spans="1:33">
      <c r="B7" t="s">
        <v>30</v>
      </c>
      <c r="C7" t="s">
        <v>0</v>
      </c>
      <c r="D7">
        <v>28</v>
      </c>
      <c r="E7">
        <v>1</v>
      </c>
      <c r="G7">
        <f t="shared" si="2"/>
        <v>29</v>
      </c>
      <c r="H7" t="s">
        <v>0</v>
      </c>
      <c r="I7">
        <v>27</v>
      </c>
      <c r="J7">
        <v>5</v>
      </c>
      <c r="L7">
        <v>32</v>
      </c>
      <c r="M7" t="s">
        <v>13</v>
      </c>
      <c r="N7">
        <v>12</v>
      </c>
      <c r="O7">
        <v>2</v>
      </c>
      <c r="Q7">
        <f t="shared" ref="Q7" si="5">O7+N7</f>
        <v>14</v>
      </c>
      <c r="W7" s="14">
        <f t="shared" si="3"/>
        <v>22.333333333333332</v>
      </c>
      <c r="X7" s="14">
        <f t="shared" si="0"/>
        <v>2.6666666666666665</v>
      </c>
      <c r="Y7" s="14" t="e">
        <f t="shared" si="1"/>
        <v>#DIV/0!</v>
      </c>
      <c r="Z7" s="14">
        <f t="shared" si="4"/>
        <v>25</v>
      </c>
      <c r="AA7" s="6" t="s">
        <v>152</v>
      </c>
      <c r="AB7" s="9">
        <v>45207</v>
      </c>
      <c r="AC7" s="10">
        <v>0.47291666666666665</v>
      </c>
      <c r="AF7" t="s">
        <v>153</v>
      </c>
      <c r="AG7">
        <v>125</v>
      </c>
    </row>
    <row r="8" spans="1:33">
      <c r="B8" t="s">
        <v>31</v>
      </c>
      <c r="C8" t="s">
        <v>0</v>
      </c>
      <c r="D8">
        <v>29</v>
      </c>
      <c r="E8">
        <v>2</v>
      </c>
      <c r="G8">
        <f t="shared" si="2"/>
        <v>31</v>
      </c>
      <c r="H8" t="s">
        <v>0</v>
      </c>
      <c r="I8">
        <v>16</v>
      </c>
      <c r="J8">
        <v>2</v>
      </c>
      <c r="L8">
        <v>18</v>
      </c>
      <c r="W8" s="14">
        <f t="shared" si="3"/>
        <v>22.5</v>
      </c>
      <c r="X8" s="14">
        <f t="shared" si="0"/>
        <v>2</v>
      </c>
      <c r="Y8" s="14" t="e">
        <f t="shared" si="1"/>
        <v>#DIV/0!</v>
      </c>
      <c r="Z8" s="14">
        <f t="shared" si="4"/>
        <v>24.5</v>
      </c>
      <c r="AA8" s="6" t="s">
        <v>154</v>
      </c>
      <c r="AB8" s="9">
        <v>45207</v>
      </c>
      <c r="AC8" s="10">
        <v>0.47499999999999998</v>
      </c>
      <c r="AG8">
        <f>AG7/AG6</f>
        <v>3.5184012384772353E-2</v>
      </c>
    </row>
    <row r="9" spans="1:33">
      <c r="B9" t="s">
        <v>32</v>
      </c>
      <c r="C9" t="s">
        <v>0</v>
      </c>
      <c r="D9">
        <v>8</v>
      </c>
      <c r="E9">
        <v>5</v>
      </c>
      <c r="G9">
        <f t="shared" si="2"/>
        <v>13</v>
      </c>
      <c r="H9" t="s">
        <v>0</v>
      </c>
      <c r="L9">
        <v>16</v>
      </c>
      <c r="W9" s="14">
        <f t="shared" si="3"/>
        <v>8</v>
      </c>
      <c r="X9" s="14">
        <f t="shared" si="0"/>
        <v>5</v>
      </c>
      <c r="Y9" s="14" t="e">
        <f t="shared" si="1"/>
        <v>#DIV/0!</v>
      </c>
      <c r="Z9" s="14">
        <f t="shared" si="4"/>
        <v>14.5</v>
      </c>
      <c r="AA9" s="6" t="s">
        <v>155</v>
      </c>
      <c r="AB9" s="9">
        <v>45207</v>
      </c>
      <c r="AC9" s="10">
        <v>0.23472222222222222</v>
      </c>
      <c r="AF9" t="s">
        <v>156</v>
      </c>
      <c r="AG9" s="14">
        <f>Z96</f>
        <v>2033.4166666666665</v>
      </c>
    </row>
    <row r="10" spans="1:33">
      <c r="B10" t="s">
        <v>33</v>
      </c>
      <c r="C10" t="s">
        <v>0</v>
      </c>
      <c r="D10">
        <v>17</v>
      </c>
      <c r="E10">
        <v>6</v>
      </c>
      <c r="G10">
        <f t="shared" si="2"/>
        <v>23</v>
      </c>
      <c r="H10" t="s">
        <v>0</v>
      </c>
      <c r="L10">
        <v>17</v>
      </c>
      <c r="W10" s="14">
        <f t="shared" si="3"/>
        <v>17</v>
      </c>
      <c r="X10" s="14">
        <f t="shared" si="0"/>
        <v>6</v>
      </c>
      <c r="Y10" s="14" t="e">
        <f t="shared" si="1"/>
        <v>#DIV/0!</v>
      </c>
      <c r="Z10" s="14">
        <f t="shared" si="4"/>
        <v>20</v>
      </c>
      <c r="AA10" s="6" t="s">
        <v>157</v>
      </c>
      <c r="AB10" s="9">
        <v>45207</v>
      </c>
      <c r="AC10" s="10">
        <v>0.23749999999999999</v>
      </c>
      <c r="AF10" t="s">
        <v>158</v>
      </c>
      <c r="AG10">
        <v>142</v>
      </c>
    </row>
    <row r="11" spans="1:33">
      <c r="B11" t="s">
        <v>34</v>
      </c>
      <c r="C11" t="s">
        <v>0</v>
      </c>
      <c r="D11">
        <v>19</v>
      </c>
      <c r="E11">
        <v>3</v>
      </c>
      <c r="G11">
        <f t="shared" si="2"/>
        <v>22</v>
      </c>
      <c r="H11" t="s">
        <v>0</v>
      </c>
      <c r="L11">
        <v>16</v>
      </c>
      <c r="W11" s="14">
        <f t="shared" si="3"/>
        <v>19</v>
      </c>
      <c r="X11" s="14">
        <f t="shared" si="0"/>
        <v>3</v>
      </c>
      <c r="Y11" s="14" t="e">
        <f t="shared" si="1"/>
        <v>#DIV/0!</v>
      </c>
      <c r="Z11" s="14">
        <f t="shared" si="4"/>
        <v>19</v>
      </c>
      <c r="AA11" s="6" t="s">
        <v>159</v>
      </c>
      <c r="AB11" s="9">
        <v>45207</v>
      </c>
      <c r="AC11" s="10">
        <v>0.23958333333333334</v>
      </c>
      <c r="AG11">
        <f>AG10/AG9</f>
        <v>6.9833203557231271E-2</v>
      </c>
    </row>
    <row r="12" spans="1:33">
      <c r="B12" t="s">
        <v>35</v>
      </c>
      <c r="C12" t="s">
        <v>0</v>
      </c>
      <c r="D12">
        <v>22</v>
      </c>
      <c r="E12">
        <v>3</v>
      </c>
      <c r="G12">
        <f t="shared" si="2"/>
        <v>25</v>
      </c>
      <c r="H12" t="s">
        <v>0</v>
      </c>
      <c r="L12">
        <v>16</v>
      </c>
      <c r="W12" s="14">
        <f t="shared" si="3"/>
        <v>22</v>
      </c>
      <c r="X12" s="14">
        <f t="shared" si="0"/>
        <v>3</v>
      </c>
      <c r="Y12" s="14" t="e">
        <f t="shared" si="1"/>
        <v>#DIV/0!</v>
      </c>
      <c r="Z12" s="14">
        <f t="shared" si="4"/>
        <v>20.5</v>
      </c>
      <c r="AA12" s="6" t="s">
        <v>160</v>
      </c>
      <c r="AE12" s="9"/>
    </row>
    <row r="13" spans="1:33">
      <c r="B13" t="s">
        <v>36</v>
      </c>
      <c r="C13" t="s">
        <v>0</v>
      </c>
      <c r="D13">
        <v>27</v>
      </c>
      <c r="E13">
        <v>2</v>
      </c>
      <c r="G13">
        <f t="shared" si="2"/>
        <v>29</v>
      </c>
      <c r="H13" t="s">
        <v>0</v>
      </c>
      <c r="L13">
        <v>19</v>
      </c>
      <c r="W13" s="14">
        <f t="shared" si="3"/>
        <v>27</v>
      </c>
      <c r="X13" s="14">
        <f t="shared" si="0"/>
        <v>2</v>
      </c>
      <c r="Y13" s="14" t="e">
        <f t="shared" si="1"/>
        <v>#DIV/0!</v>
      </c>
      <c r="Z13" s="14">
        <f t="shared" si="4"/>
        <v>24</v>
      </c>
      <c r="AA13" s="6" t="s">
        <v>161</v>
      </c>
      <c r="AE13" s="9"/>
    </row>
    <row r="14" spans="1:33">
      <c r="B14" t="s">
        <v>37</v>
      </c>
      <c r="C14" t="s">
        <v>0</v>
      </c>
      <c r="D14">
        <v>37</v>
      </c>
      <c r="E14">
        <v>1</v>
      </c>
      <c r="G14">
        <f t="shared" si="2"/>
        <v>38</v>
      </c>
      <c r="H14" t="s">
        <v>0</v>
      </c>
      <c r="L14">
        <v>30</v>
      </c>
      <c r="W14" s="14">
        <f t="shared" si="3"/>
        <v>37</v>
      </c>
      <c r="X14" s="14">
        <f t="shared" si="0"/>
        <v>1</v>
      </c>
      <c r="Y14" s="14" t="e">
        <f t="shared" si="1"/>
        <v>#DIV/0!</v>
      </c>
      <c r="Z14" s="14">
        <f t="shared" si="4"/>
        <v>34</v>
      </c>
      <c r="AA14" s="6" t="s">
        <v>162</v>
      </c>
      <c r="AE14" s="9"/>
    </row>
    <row r="15" spans="1:33">
      <c r="B15" t="s">
        <v>38</v>
      </c>
      <c r="C15" t="s">
        <v>0</v>
      </c>
      <c r="D15">
        <v>26</v>
      </c>
      <c r="E15">
        <v>2</v>
      </c>
      <c r="G15">
        <f t="shared" si="2"/>
        <v>28</v>
      </c>
      <c r="H15" t="s">
        <v>0</v>
      </c>
      <c r="I15">
        <v>103</v>
      </c>
      <c r="J15">
        <v>42</v>
      </c>
      <c r="L15">
        <v>145</v>
      </c>
      <c r="M15" t="s">
        <v>13</v>
      </c>
      <c r="Q15">
        <v>76</v>
      </c>
      <c r="W15" s="14">
        <f>AVERAGE(D15,I15,N15,S15)</f>
        <v>64.5</v>
      </c>
      <c r="X15" s="14">
        <f t="shared" si="0"/>
        <v>22</v>
      </c>
      <c r="Y15" s="14" t="e">
        <f t="shared" si="1"/>
        <v>#DIV/0!</v>
      </c>
      <c r="Z15" s="14">
        <f>AVERAGE(G15,L15,Q15,V15)</f>
        <v>83</v>
      </c>
      <c r="AA15" s="6" t="s">
        <v>163</v>
      </c>
      <c r="AE15" s="9"/>
    </row>
    <row r="16" spans="1:33">
      <c r="B16" t="s">
        <v>40</v>
      </c>
      <c r="C16" t="s">
        <v>0</v>
      </c>
      <c r="D16">
        <v>28</v>
      </c>
      <c r="E16">
        <v>2</v>
      </c>
      <c r="G16">
        <f t="shared" si="2"/>
        <v>30</v>
      </c>
      <c r="H16" t="s">
        <v>0</v>
      </c>
      <c r="L16">
        <v>41</v>
      </c>
      <c r="M16" t="s">
        <v>13</v>
      </c>
      <c r="Q16">
        <v>51</v>
      </c>
      <c r="W16" s="14">
        <f t="shared" si="3"/>
        <v>28</v>
      </c>
      <c r="X16" s="14">
        <f t="shared" si="0"/>
        <v>2</v>
      </c>
      <c r="Y16" s="14" t="e">
        <f t="shared" si="1"/>
        <v>#DIV/0!</v>
      </c>
      <c r="Z16" s="14">
        <f t="shared" si="4"/>
        <v>40.666666666666664</v>
      </c>
      <c r="AA16" s="6" t="s">
        <v>164</v>
      </c>
      <c r="AE16" s="9"/>
    </row>
    <row r="17" spans="2:31">
      <c r="B17" t="s">
        <v>41</v>
      </c>
      <c r="C17" t="s">
        <v>0</v>
      </c>
      <c r="D17">
        <v>18</v>
      </c>
      <c r="E17">
        <v>2</v>
      </c>
      <c r="G17">
        <f t="shared" si="2"/>
        <v>20</v>
      </c>
      <c r="H17" t="s">
        <v>0</v>
      </c>
      <c r="L17">
        <v>33</v>
      </c>
      <c r="M17" t="s">
        <v>13</v>
      </c>
      <c r="W17" s="14">
        <f t="shared" si="3"/>
        <v>18</v>
      </c>
      <c r="X17" s="14">
        <f t="shared" si="0"/>
        <v>2</v>
      </c>
      <c r="Y17" s="14" t="e">
        <f t="shared" si="1"/>
        <v>#DIV/0!</v>
      </c>
      <c r="Z17" s="14">
        <f t="shared" si="4"/>
        <v>26.5</v>
      </c>
      <c r="AA17" s="6" t="s">
        <v>165</v>
      </c>
      <c r="AE17" s="9"/>
    </row>
    <row r="18" spans="2:31">
      <c r="B18" t="s">
        <v>42</v>
      </c>
      <c r="C18" t="s">
        <v>0</v>
      </c>
      <c r="D18">
        <v>21</v>
      </c>
      <c r="E18">
        <v>3</v>
      </c>
      <c r="G18">
        <f t="shared" si="2"/>
        <v>24</v>
      </c>
      <c r="H18" t="s">
        <v>0</v>
      </c>
      <c r="M18" t="s">
        <v>13</v>
      </c>
      <c r="Q18">
        <v>32</v>
      </c>
      <c r="W18" s="14">
        <f t="shared" si="3"/>
        <v>21</v>
      </c>
      <c r="X18" s="14">
        <f t="shared" si="0"/>
        <v>3</v>
      </c>
      <c r="Y18" s="14" t="e">
        <f t="shared" si="1"/>
        <v>#DIV/0!</v>
      </c>
      <c r="Z18" s="14">
        <f t="shared" si="4"/>
        <v>28</v>
      </c>
      <c r="AA18" s="6" t="s">
        <v>166</v>
      </c>
      <c r="AE18" s="9"/>
    </row>
    <row r="19" spans="2:31">
      <c r="B19" t="s">
        <v>43</v>
      </c>
      <c r="C19" t="s">
        <v>0</v>
      </c>
      <c r="D19">
        <v>31</v>
      </c>
      <c r="E19">
        <v>3</v>
      </c>
      <c r="G19">
        <f t="shared" si="2"/>
        <v>34</v>
      </c>
      <c r="H19" t="s">
        <v>0</v>
      </c>
      <c r="L19">
        <v>35</v>
      </c>
      <c r="M19" t="s">
        <v>13</v>
      </c>
      <c r="Q19">
        <v>33</v>
      </c>
      <c r="W19" s="14">
        <f t="shared" si="3"/>
        <v>31</v>
      </c>
      <c r="X19" s="14">
        <f t="shared" si="0"/>
        <v>3</v>
      </c>
      <c r="Y19" s="14" t="e">
        <f t="shared" si="1"/>
        <v>#DIV/0!</v>
      </c>
      <c r="Z19" s="14">
        <f t="shared" si="4"/>
        <v>34</v>
      </c>
      <c r="AA19" s="6" t="s">
        <v>167</v>
      </c>
      <c r="AE19" s="9"/>
    </row>
    <row r="20" spans="2:31">
      <c r="B20" t="s">
        <v>44</v>
      </c>
      <c r="C20" t="s">
        <v>0</v>
      </c>
      <c r="D20" s="3">
        <v>140</v>
      </c>
      <c r="G20">
        <f t="shared" si="2"/>
        <v>140</v>
      </c>
      <c r="H20" t="s">
        <v>0</v>
      </c>
      <c r="L20">
        <v>28</v>
      </c>
      <c r="M20" t="s">
        <v>13</v>
      </c>
      <c r="Q20">
        <v>21</v>
      </c>
      <c r="W20" s="14">
        <f t="shared" si="3"/>
        <v>140</v>
      </c>
      <c r="X20" s="14" t="e">
        <f>AVERAGE(E20,J20,O20,T20)</f>
        <v>#DIV/0!</v>
      </c>
      <c r="Y20" s="14" t="e">
        <f t="shared" si="1"/>
        <v>#DIV/0!</v>
      </c>
      <c r="Z20" s="14">
        <f t="shared" si="4"/>
        <v>63</v>
      </c>
      <c r="AA20" s="6" t="s">
        <v>168</v>
      </c>
      <c r="AE20" s="9"/>
    </row>
    <row r="21" spans="2:31">
      <c r="B21" t="s">
        <v>45</v>
      </c>
      <c r="C21" t="s">
        <v>0</v>
      </c>
      <c r="D21">
        <v>13</v>
      </c>
      <c r="E21">
        <v>2</v>
      </c>
      <c r="G21">
        <f t="shared" si="2"/>
        <v>15</v>
      </c>
      <c r="H21" t="s">
        <v>0</v>
      </c>
      <c r="L21">
        <v>9</v>
      </c>
      <c r="M21" t="s">
        <v>13</v>
      </c>
      <c r="Q21">
        <v>11</v>
      </c>
      <c r="W21" s="14">
        <f t="shared" si="3"/>
        <v>13</v>
      </c>
      <c r="X21" s="14">
        <f t="shared" si="0"/>
        <v>2</v>
      </c>
      <c r="Y21" s="14" t="e">
        <f t="shared" si="1"/>
        <v>#DIV/0!</v>
      </c>
      <c r="Z21" s="14">
        <f t="shared" si="4"/>
        <v>11.666666666666666</v>
      </c>
      <c r="AA21" s="6" t="s">
        <v>169</v>
      </c>
    </row>
    <row r="22" spans="2:31">
      <c r="B22" t="s">
        <v>46</v>
      </c>
      <c r="C22" t="s">
        <v>0</v>
      </c>
      <c r="D22">
        <v>19</v>
      </c>
      <c r="E22">
        <v>1</v>
      </c>
      <c r="G22">
        <f t="shared" si="2"/>
        <v>20</v>
      </c>
      <c r="H22" t="s">
        <v>0</v>
      </c>
      <c r="L22">
        <v>18</v>
      </c>
      <c r="M22" t="s">
        <v>13</v>
      </c>
      <c r="Q22">
        <v>23</v>
      </c>
      <c r="W22" s="14">
        <f t="shared" si="3"/>
        <v>19</v>
      </c>
      <c r="X22" s="14">
        <f t="shared" si="0"/>
        <v>1</v>
      </c>
      <c r="Y22" s="14" t="e">
        <f t="shared" si="1"/>
        <v>#DIV/0!</v>
      </c>
      <c r="Z22" s="14">
        <f t="shared" si="4"/>
        <v>20.333333333333332</v>
      </c>
      <c r="AA22" s="6" t="s">
        <v>170</v>
      </c>
    </row>
    <row r="23" spans="2:31">
      <c r="B23" t="s">
        <v>47</v>
      </c>
      <c r="C23" t="s">
        <v>0</v>
      </c>
      <c r="D23">
        <v>7</v>
      </c>
      <c r="E23">
        <v>2</v>
      </c>
      <c r="G23">
        <f t="shared" si="2"/>
        <v>9</v>
      </c>
      <c r="H23" t="s">
        <v>0</v>
      </c>
      <c r="L23">
        <v>8</v>
      </c>
      <c r="M23" t="s">
        <v>13</v>
      </c>
      <c r="Q23">
        <v>20</v>
      </c>
      <c r="R23" t="s">
        <v>13</v>
      </c>
      <c r="S23">
        <v>5</v>
      </c>
      <c r="V23">
        <v>5</v>
      </c>
      <c r="W23" s="14">
        <f t="shared" si="3"/>
        <v>6</v>
      </c>
      <c r="X23" s="14">
        <f t="shared" si="0"/>
        <v>2</v>
      </c>
      <c r="Y23" s="14" t="e">
        <f t="shared" si="1"/>
        <v>#DIV/0!</v>
      </c>
      <c r="Z23" s="14">
        <f t="shared" si="4"/>
        <v>10.5</v>
      </c>
      <c r="AA23" s="6" t="s">
        <v>171</v>
      </c>
    </row>
    <row r="24" spans="2:31">
      <c r="B24" t="s">
        <v>48</v>
      </c>
      <c r="C24" t="s">
        <v>20</v>
      </c>
      <c r="D24">
        <v>34</v>
      </c>
      <c r="E24">
        <v>21</v>
      </c>
      <c r="F24">
        <v>1</v>
      </c>
      <c r="G24">
        <f t="shared" si="2"/>
        <v>56</v>
      </c>
      <c r="H24" t="s">
        <v>0</v>
      </c>
      <c r="L24">
        <v>19</v>
      </c>
      <c r="M24" t="s">
        <v>13</v>
      </c>
      <c r="Q24">
        <v>24</v>
      </c>
      <c r="R24" t="s">
        <v>20</v>
      </c>
      <c r="S24">
        <v>26</v>
      </c>
      <c r="T24">
        <v>9</v>
      </c>
      <c r="U24">
        <v>1</v>
      </c>
      <c r="V24">
        <f>S24+T24+U24</f>
        <v>36</v>
      </c>
      <c r="W24" s="14">
        <f t="shared" si="3"/>
        <v>30</v>
      </c>
      <c r="X24" s="14">
        <f t="shared" si="0"/>
        <v>15</v>
      </c>
      <c r="Y24" s="14">
        <f t="shared" si="1"/>
        <v>1</v>
      </c>
      <c r="Z24" s="14">
        <f t="shared" si="4"/>
        <v>33.75</v>
      </c>
      <c r="AA24" s="6" t="s">
        <v>172</v>
      </c>
    </row>
    <row r="25" spans="2:31">
      <c r="B25" t="s">
        <v>49</v>
      </c>
      <c r="C25" t="s">
        <v>13</v>
      </c>
      <c r="D25">
        <v>18</v>
      </c>
      <c r="E25">
        <v>5</v>
      </c>
      <c r="F25">
        <v>1</v>
      </c>
      <c r="G25">
        <f t="shared" si="2"/>
        <v>24</v>
      </c>
      <c r="H25" t="s">
        <v>0</v>
      </c>
      <c r="L25">
        <v>31</v>
      </c>
      <c r="M25" t="s">
        <v>20</v>
      </c>
      <c r="N25">
        <v>36</v>
      </c>
      <c r="O25">
        <v>13</v>
      </c>
      <c r="P25">
        <v>0</v>
      </c>
      <c r="Q25">
        <f>N25+O25+P25</f>
        <v>49</v>
      </c>
      <c r="R25" t="s">
        <v>20</v>
      </c>
      <c r="S25">
        <v>33</v>
      </c>
      <c r="T25">
        <v>7</v>
      </c>
      <c r="U25">
        <v>1</v>
      </c>
      <c r="V25">
        <f t="shared" ref="V25:V28" si="6">S25+T25+U25</f>
        <v>41</v>
      </c>
      <c r="W25" s="14">
        <f t="shared" si="3"/>
        <v>29</v>
      </c>
      <c r="X25" s="14">
        <f t="shared" si="0"/>
        <v>8.3333333333333339</v>
      </c>
      <c r="Y25" s="14">
        <f t="shared" si="1"/>
        <v>0.66666666666666663</v>
      </c>
      <c r="Z25" s="14">
        <f t="shared" si="4"/>
        <v>36.25</v>
      </c>
      <c r="AA25" s="6" t="s">
        <v>173</v>
      </c>
    </row>
    <row r="26" spans="2:31">
      <c r="B26" t="s">
        <v>50</v>
      </c>
      <c r="C26" t="s">
        <v>0</v>
      </c>
      <c r="H26" t="s">
        <v>0</v>
      </c>
      <c r="L26">
        <v>21</v>
      </c>
      <c r="M26" t="s">
        <v>20</v>
      </c>
      <c r="N26">
        <v>20</v>
      </c>
      <c r="O26">
        <v>15</v>
      </c>
      <c r="P26">
        <v>5</v>
      </c>
      <c r="Q26">
        <f t="shared" ref="Q26:Q29" si="7">N26+O26+P26</f>
        <v>40</v>
      </c>
      <c r="R26" t="s">
        <v>20</v>
      </c>
      <c r="S26">
        <v>21</v>
      </c>
      <c r="T26">
        <v>6</v>
      </c>
      <c r="U26">
        <v>0</v>
      </c>
      <c r="V26">
        <f t="shared" si="6"/>
        <v>27</v>
      </c>
      <c r="W26" s="14">
        <f t="shared" si="3"/>
        <v>20.5</v>
      </c>
      <c r="X26" s="14">
        <f t="shared" si="0"/>
        <v>10.5</v>
      </c>
      <c r="Y26" s="14">
        <f t="shared" si="1"/>
        <v>2.5</v>
      </c>
      <c r="Z26" s="14">
        <f>AVERAGE(G26,L26,Q26,V26)</f>
        <v>29.333333333333332</v>
      </c>
      <c r="AA26" s="6" t="s">
        <v>174</v>
      </c>
    </row>
    <row r="27" spans="2:31">
      <c r="B27" t="s">
        <v>51</v>
      </c>
      <c r="C27" t="s">
        <v>0</v>
      </c>
      <c r="H27" t="s">
        <v>0</v>
      </c>
      <c r="L27">
        <v>57</v>
      </c>
      <c r="M27" t="s">
        <v>20</v>
      </c>
      <c r="N27">
        <v>76</v>
      </c>
      <c r="O27">
        <v>7</v>
      </c>
      <c r="P27">
        <v>8</v>
      </c>
      <c r="Q27">
        <f t="shared" si="7"/>
        <v>91</v>
      </c>
      <c r="R27" t="s">
        <v>20</v>
      </c>
      <c r="S27">
        <v>69</v>
      </c>
      <c r="T27">
        <v>41</v>
      </c>
      <c r="U27">
        <v>43</v>
      </c>
      <c r="V27">
        <f t="shared" si="6"/>
        <v>153</v>
      </c>
      <c r="W27" s="14">
        <f t="shared" si="3"/>
        <v>72.5</v>
      </c>
      <c r="X27" s="14">
        <f t="shared" si="0"/>
        <v>24</v>
      </c>
      <c r="Y27" s="14">
        <f t="shared" si="1"/>
        <v>25.5</v>
      </c>
      <c r="Z27" s="14">
        <f>AVERAGE(G27,L27,Q27,V27)</f>
        <v>100.33333333333333</v>
      </c>
      <c r="AA27" s="6" t="s">
        <v>175</v>
      </c>
    </row>
    <row r="28" spans="2:31">
      <c r="B28" t="s">
        <v>52</v>
      </c>
      <c r="C28" t="s">
        <v>13</v>
      </c>
      <c r="D28">
        <v>91</v>
      </c>
      <c r="E28">
        <v>22</v>
      </c>
      <c r="F28">
        <v>10</v>
      </c>
      <c r="G28">
        <f t="shared" si="2"/>
        <v>123</v>
      </c>
      <c r="H28" t="s">
        <v>0</v>
      </c>
      <c r="L28">
        <v>73</v>
      </c>
      <c r="M28" t="s">
        <v>20</v>
      </c>
      <c r="N28">
        <v>135</v>
      </c>
      <c r="O28">
        <v>26</v>
      </c>
      <c r="P28">
        <v>3</v>
      </c>
      <c r="Q28">
        <f t="shared" si="7"/>
        <v>164</v>
      </c>
      <c r="R28" t="s">
        <v>20</v>
      </c>
      <c r="S28">
        <v>125</v>
      </c>
      <c r="T28">
        <v>25</v>
      </c>
      <c r="U28">
        <v>23</v>
      </c>
      <c r="V28">
        <f t="shared" si="6"/>
        <v>173</v>
      </c>
      <c r="W28" s="14">
        <f t="shared" si="3"/>
        <v>117</v>
      </c>
      <c r="X28" s="14">
        <f t="shared" si="0"/>
        <v>24.333333333333332</v>
      </c>
      <c r="Y28" s="14">
        <f t="shared" si="1"/>
        <v>12</v>
      </c>
      <c r="Z28" s="14">
        <f>AVERAGE(G28,L28,Q28,V28)</f>
        <v>133.25</v>
      </c>
      <c r="AA28" s="6" t="s">
        <v>176</v>
      </c>
    </row>
    <row r="29" spans="2:31">
      <c r="B29" t="s">
        <v>53</v>
      </c>
      <c r="C29" t="s">
        <v>0</v>
      </c>
      <c r="H29" t="s">
        <v>0</v>
      </c>
      <c r="L29">
        <v>60</v>
      </c>
      <c r="M29" t="s">
        <v>20</v>
      </c>
      <c r="N29">
        <v>86</v>
      </c>
      <c r="O29">
        <v>29</v>
      </c>
      <c r="P29">
        <v>9</v>
      </c>
      <c r="Q29">
        <f t="shared" si="7"/>
        <v>124</v>
      </c>
      <c r="R29" t="s">
        <v>20</v>
      </c>
      <c r="S29">
        <v>68</v>
      </c>
      <c r="T29">
        <v>15</v>
      </c>
      <c r="U29">
        <v>24</v>
      </c>
      <c r="V29">
        <f>S29+T29+U29</f>
        <v>107</v>
      </c>
      <c r="W29" s="14">
        <f t="shared" si="3"/>
        <v>77</v>
      </c>
      <c r="X29" s="14">
        <f t="shared" si="0"/>
        <v>22</v>
      </c>
      <c r="Y29" s="14">
        <f t="shared" si="1"/>
        <v>16.5</v>
      </c>
      <c r="Z29" s="14">
        <f t="shared" si="4"/>
        <v>97</v>
      </c>
      <c r="AA29" s="6" t="s">
        <v>177</v>
      </c>
    </row>
    <row r="30" spans="2:31">
      <c r="B30" t="s">
        <v>54</v>
      </c>
      <c r="C30" t="s">
        <v>0</v>
      </c>
      <c r="D30">
        <v>29</v>
      </c>
      <c r="G30">
        <f t="shared" si="2"/>
        <v>29</v>
      </c>
      <c r="H30" t="s">
        <v>0</v>
      </c>
      <c r="L30">
        <v>33</v>
      </c>
      <c r="W30" s="14">
        <f t="shared" si="3"/>
        <v>29</v>
      </c>
      <c r="X30" s="14" t="e">
        <f t="shared" si="0"/>
        <v>#DIV/0!</v>
      </c>
      <c r="Y30" s="14" t="e">
        <f t="shared" si="1"/>
        <v>#DIV/0!</v>
      </c>
      <c r="Z30" s="14">
        <f t="shared" si="4"/>
        <v>31</v>
      </c>
      <c r="AA30" s="6" t="s">
        <v>178</v>
      </c>
    </row>
    <row r="31" spans="2:31">
      <c r="B31" t="s">
        <v>55</v>
      </c>
      <c r="C31" t="s">
        <v>0</v>
      </c>
      <c r="D31">
        <v>42</v>
      </c>
      <c r="G31">
        <f t="shared" si="2"/>
        <v>42</v>
      </c>
      <c r="W31" s="14">
        <f t="shared" si="3"/>
        <v>42</v>
      </c>
      <c r="X31" s="14" t="e">
        <f t="shared" si="0"/>
        <v>#DIV/0!</v>
      </c>
      <c r="Y31" s="14" t="e">
        <f t="shared" si="1"/>
        <v>#DIV/0!</v>
      </c>
      <c r="Z31" s="14">
        <f t="shared" si="4"/>
        <v>42</v>
      </c>
      <c r="AA31" s="6" t="s">
        <v>179</v>
      </c>
    </row>
    <row r="32" spans="2:31">
      <c r="B32" t="s">
        <v>56</v>
      </c>
      <c r="C32" t="s">
        <v>0</v>
      </c>
      <c r="D32">
        <v>30</v>
      </c>
      <c r="G32">
        <f t="shared" si="2"/>
        <v>30</v>
      </c>
      <c r="W32" s="14">
        <f t="shared" si="3"/>
        <v>30</v>
      </c>
      <c r="X32" s="14" t="e">
        <f t="shared" si="0"/>
        <v>#DIV/0!</v>
      </c>
      <c r="Y32" s="14" t="e">
        <f t="shared" si="1"/>
        <v>#DIV/0!</v>
      </c>
      <c r="Z32" s="14">
        <f t="shared" si="4"/>
        <v>30</v>
      </c>
      <c r="AA32" s="6" t="s">
        <v>180</v>
      </c>
    </row>
    <row r="33" spans="1:27">
      <c r="B33" t="s">
        <v>57</v>
      </c>
      <c r="C33" t="s">
        <v>0</v>
      </c>
      <c r="D33">
        <v>29</v>
      </c>
      <c r="G33">
        <f t="shared" si="2"/>
        <v>29</v>
      </c>
      <c r="W33" s="14">
        <f t="shared" ref="W33:Y54" si="8">AVERAGE(D33,I33,N33,S33)</f>
        <v>29</v>
      </c>
      <c r="X33" s="14" t="e">
        <f t="shared" si="8"/>
        <v>#DIV/0!</v>
      </c>
      <c r="Y33" s="14" t="e">
        <f t="shared" si="8"/>
        <v>#DIV/0!</v>
      </c>
      <c r="Z33" s="14">
        <f t="shared" ref="Z33:Z34" si="9">AVERAGE(G33,L33,Q33,V33)</f>
        <v>29</v>
      </c>
      <c r="AA33" s="6" t="s">
        <v>181</v>
      </c>
    </row>
    <row r="34" spans="1:27">
      <c r="B34" t="s">
        <v>58</v>
      </c>
      <c r="C34" t="s">
        <v>0</v>
      </c>
      <c r="D34">
        <v>35</v>
      </c>
      <c r="G34">
        <f t="shared" si="2"/>
        <v>35</v>
      </c>
      <c r="W34" s="14">
        <f t="shared" si="8"/>
        <v>35</v>
      </c>
      <c r="X34" s="14" t="e">
        <f t="shared" si="8"/>
        <v>#DIV/0!</v>
      </c>
      <c r="Y34" s="14" t="e">
        <f t="shared" si="8"/>
        <v>#DIV/0!</v>
      </c>
      <c r="Z34" s="14">
        <f t="shared" si="9"/>
        <v>35</v>
      </c>
      <c r="AA34" s="6" t="s">
        <v>182</v>
      </c>
    </row>
    <row r="35" spans="1:27">
      <c r="A35" s="4"/>
      <c r="B35" t="s">
        <v>59</v>
      </c>
      <c r="C35" t="s">
        <v>0</v>
      </c>
      <c r="D35">
        <v>45</v>
      </c>
      <c r="G35">
        <f t="shared" si="2"/>
        <v>45</v>
      </c>
      <c r="W35" s="14">
        <f t="shared" si="8"/>
        <v>45</v>
      </c>
      <c r="X35" s="14" t="e">
        <f t="shared" si="8"/>
        <v>#DIV/0!</v>
      </c>
      <c r="Y35" s="14" t="e">
        <f t="shared" si="8"/>
        <v>#DIV/0!</v>
      </c>
      <c r="Z35" s="14">
        <f t="shared" ref="Z35:Z54" si="10">AVERAGE(G35,L35,Q35,V35)</f>
        <v>45</v>
      </c>
      <c r="AA35" s="6" t="s">
        <v>183</v>
      </c>
    </row>
    <row r="36" spans="1:27">
      <c r="B36" t="s">
        <v>60</v>
      </c>
      <c r="C36" t="s">
        <v>0</v>
      </c>
      <c r="D36">
        <v>95</v>
      </c>
      <c r="E36">
        <v>1</v>
      </c>
      <c r="G36">
        <f t="shared" si="2"/>
        <v>96</v>
      </c>
      <c r="W36" s="14">
        <f t="shared" si="8"/>
        <v>95</v>
      </c>
      <c r="X36" s="14">
        <f t="shared" si="8"/>
        <v>1</v>
      </c>
      <c r="Y36" s="14" t="e">
        <f t="shared" si="8"/>
        <v>#DIV/0!</v>
      </c>
      <c r="Z36" s="14">
        <f t="shared" si="10"/>
        <v>96</v>
      </c>
      <c r="AA36" s="6" t="s">
        <v>184</v>
      </c>
    </row>
    <row r="37" spans="1:27">
      <c r="B37" t="s">
        <v>61</v>
      </c>
      <c r="C37" t="s">
        <v>0</v>
      </c>
      <c r="D37">
        <v>129</v>
      </c>
      <c r="E37">
        <v>5</v>
      </c>
      <c r="G37">
        <f t="shared" si="2"/>
        <v>134</v>
      </c>
      <c r="W37" s="14">
        <f t="shared" si="8"/>
        <v>129</v>
      </c>
      <c r="X37" s="14">
        <f t="shared" si="8"/>
        <v>5</v>
      </c>
      <c r="Y37" s="14" t="e">
        <f t="shared" si="8"/>
        <v>#DIV/0!</v>
      </c>
      <c r="Z37" s="14">
        <f t="shared" si="10"/>
        <v>134</v>
      </c>
      <c r="AA37" s="6" t="s">
        <v>185</v>
      </c>
    </row>
    <row r="38" spans="1:27">
      <c r="B38" t="s">
        <v>62</v>
      </c>
      <c r="C38" t="s">
        <v>0</v>
      </c>
      <c r="D38">
        <v>172</v>
      </c>
      <c r="E38">
        <v>6</v>
      </c>
      <c r="G38">
        <f t="shared" si="2"/>
        <v>178</v>
      </c>
      <c r="W38" s="14">
        <f t="shared" si="8"/>
        <v>172</v>
      </c>
      <c r="X38" s="14">
        <f t="shared" si="8"/>
        <v>6</v>
      </c>
      <c r="Y38" s="14" t="e">
        <f t="shared" si="8"/>
        <v>#DIV/0!</v>
      </c>
      <c r="Z38" s="14">
        <f t="shared" si="10"/>
        <v>178</v>
      </c>
      <c r="AA38" s="6" t="s">
        <v>186</v>
      </c>
    </row>
    <row r="39" spans="1:27">
      <c r="B39" t="s">
        <v>63</v>
      </c>
      <c r="C39" t="s">
        <v>0</v>
      </c>
      <c r="D39">
        <v>126</v>
      </c>
      <c r="E39">
        <v>4</v>
      </c>
      <c r="G39">
        <f t="shared" si="2"/>
        <v>130</v>
      </c>
      <c r="W39" s="14">
        <f t="shared" si="8"/>
        <v>126</v>
      </c>
      <c r="X39" s="14">
        <f t="shared" si="8"/>
        <v>4</v>
      </c>
      <c r="Y39" s="14" t="e">
        <f t="shared" si="8"/>
        <v>#DIV/0!</v>
      </c>
      <c r="Z39" s="14">
        <f t="shared" si="10"/>
        <v>130</v>
      </c>
      <c r="AA39" s="6" t="s">
        <v>187</v>
      </c>
    </row>
    <row r="40" spans="1:27">
      <c r="B40" t="s">
        <v>64</v>
      </c>
      <c r="C40" t="s">
        <v>0</v>
      </c>
      <c r="D40">
        <v>126</v>
      </c>
      <c r="E40">
        <v>2</v>
      </c>
      <c r="G40">
        <f t="shared" si="2"/>
        <v>128</v>
      </c>
      <c r="W40" s="14">
        <f t="shared" si="8"/>
        <v>126</v>
      </c>
      <c r="X40" s="14">
        <f t="shared" si="8"/>
        <v>2</v>
      </c>
      <c r="Y40" s="14" t="e">
        <f t="shared" si="8"/>
        <v>#DIV/0!</v>
      </c>
      <c r="Z40" s="14">
        <f t="shared" si="10"/>
        <v>128</v>
      </c>
      <c r="AA40" s="6" t="s">
        <v>188</v>
      </c>
    </row>
    <row r="41" spans="1:27">
      <c r="B41" t="s">
        <v>65</v>
      </c>
      <c r="C41" t="s">
        <v>0</v>
      </c>
      <c r="D41">
        <v>134</v>
      </c>
      <c r="E41">
        <v>26</v>
      </c>
      <c r="G41">
        <f t="shared" si="2"/>
        <v>160</v>
      </c>
      <c r="W41" s="14">
        <f t="shared" si="8"/>
        <v>134</v>
      </c>
      <c r="X41" s="14">
        <f t="shared" si="8"/>
        <v>26</v>
      </c>
      <c r="Y41" s="14" t="e">
        <f t="shared" si="8"/>
        <v>#DIV/0!</v>
      </c>
      <c r="Z41" s="14">
        <f t="shared" si="10"/>
        <v>160</v>
      </c>
      <c r="AA41" s="6" t="s">
        <v>189</v>
      </c>
    </row>
    <row r="42" spans="1:27">
      <c r="B42" t="s">
        <v>66</v>
      </c>
      <c r="C42" t="s">
        <v>0</v>
      </c>
      <c r="D42">
        <v>83</v>
      </c>
      <c r="G42">
        <f t="shared" si="2"/>
        <v>83</v>
      </c>
      <c r="W42" s="14">
        <f t="shared" si="8"/>
        <v>83</v>
      </c>
      <c r="X42" s="14" t="e">
        <f t="shared" si="8"/>
        <v>#DIV/0!</v>
      </c>
      <c r="Y42" s="14" t="e">
        <f t="shared" si="8"/>
        <v>#DIV/0!</v>
      </c>
      <c r="Z42" s="14">
        <f t="shared" si="10"/>
        <v>83</v>
      </c>
      <c r="AA42" s="6" t="s">
        <v>190</v>
      </c>
    </row>
    <row r="43" spans="1:27">
      <c r="B43" t="s">
        <v>67</v>
      </c>
      <c r="C43" t="s">
        <v>0</v>
      </c>
      <c r="D43" s="2">
        <v>99</v>
      </c>
      <c r="G43">
        <f t="shared" si="2"/>
        <v>99</v>
      </c>
      <c r="W43" s="14">
        <f t="shared" si="8"/>
        <v>99</v>
      </c>
      <c r="X43" s="14" t="e">
        <f t="shared" si="8"/>
        <v>#DIV/0!</v>
      </c>
      <c r="Y43" s="14" t="e">
        <f t="shared" si="8"/>
        <v>#DIV/0!</v>
      </c>
      <c r="Z43" s="14">
        <f t="shared" si="10"/>
        <v>99</v>
      </c>
      <c r="AA43" s="6" t="s">
        <v>191</v>
      </c>
    </row>
    <row r="44" spans="1:27">
      <c r="B44" t="s">
        <v>68</v>
      </c>
      <c r="C44" t="s">
        <v>0</v>
      </c>
      <c r="D44">
        <v>75</v>
      </c>
      <c r="G44">
        <f t="shared" si="2"/>
        <v>75</v>
      </c>
      <c r="W44" s="14">
        <f t="shared" si="8"/>
        <v>75</v>
      </c>
      <c r="X44" s="14" t="e">
        <f t="shared" si="8"/>
        <v>#DIV/0!</v>
      </c>
      <c r="Y44" s="14" t="e">
        <f t="shared" si="8"/>
        <v>#DIV/0!</v>
      </c>
      <c r="Z44" s="14">
        <f t="shared" si="10"/>
        <v>75</v>
      </c>
      <c r="AA44" s="6" t="s">
        <v>192</v>
      </c>
    </row>
    <row r="45" spans="1:27">
      <c r="B45" t="s">
        <v>69</v>
      </c>
      <c r="C45" t="s">
        <v>0</v>
      </c>
      <c r="D45">
        <v>10</v>
      </c>
      <c r="G45">
        <f t="shared" si="2"/>
        <v>10</v>
      </c>
      <c r="W45" s="14">
        <f t="shared" si="8"/>
        <v>10</v>
      </c>
      <c r="X45" s="14" t="e">
        <f t="shared" si="8"/>
        <v>#DIV/0!</v>
      </c>
      <c r="Y45" s="14" t="e">
        <f t="shared" si="8"/>
        <v>#DIV/0!</v>
      </c>
      <c r="Z45" s="14">
        <f t="shared" si="10"/>
        <v>10</v>
      </c>
      <c r="AA45" s="6" t="s">
        <v>193</v>
      </c>
    </row>
    <row r="46" spans="1:27">
      <c r="B46" t="s">
        <v>70</v>
      </c>
      <c r="C46" t="s">
        <v>0</v>
      </c>
      <c r="D46">
        <v>20</v>
      </c>
      <c r="E46">
        <v>3</v>
      </c>
      <c r="G46">
        <f t="shared" si="2"/>
        <v>23</v>
      </c>
      <c r="H46" t="s">
        <v>13</v>
      </c>
      <c r="I46">
        <v>15</v>
      </c>
      <c r="J46">
        <v>7</v>
      </c>
      <c r="L46">
        <f t="shared" ref="L46:L50" si="11">J46+I46</f>
        <v>22</v>
      </c>
      <c r="W46" s="14">
        <f t="shared" si="8"/>
        <v>17.5</v>
      </c>
      <c r="X46" s="14">
        <f t="shared" si="8"/>
        <v>5</v>
      </c>
      <c r="Y46" s="14" t="e">
        <f t="shared" si="8"/>
        <v>#DIV/0!</v>
      </c>
      <c r="Z46" s="14">
        <f t="shared" si="10"/>
        <v>22.5</v>
      </c>
      <c r="AA46" s="6" t="s">
        <v>194</v>
      </c>
    </row>
    <row r="47" spans="1:27">
      <c r="B47" t="s">
        <v>71</v>
      </c>
      <c r="C47" t="s">
        <v>0</v>
      </c>
      <c r="D47">
        <v>13</v>
      </c>
      <c r="E47">
        <v>4</v>
      </c>
      <c r="G47">
        <f t="shared" si="2"/>
        <v>17</v>
      </c>
      <c r="H47" t="s">
        <v>13</v>
      </c>
      <c r="I47">
        <v>5</v>
      </c>
      <c r="J47">
        <v>1</v>
      </c>
      <c r="L47">
        <f t="shared" si="11"/>
        <v>6</v>
      </c>
      <c r="W47" s="14">
        <f t="shared" si="8"/>
        <v>9</v>
      </c>
      <c r="X47" s="14">
        <f t="shared" si="8"/>
        <v>2.5</v>
      </c>
      <c r="Y47" s="14" t="e">
        <f t="shared" si="8"/>
        <v>#DIV/0!</v>
      </c>
      <c r="Z47" s="14">
        <f t="shared" si="10"/>
        <v>11.5</v>
      </c>
      <c r="AA47" s="6" t="s">
        <v>195</v>
      </c>
    </row>
    <row r="48" spans="1:27">
      <c r="B48" t="s">
        <v>72</v>
      </c>
      <c r="C48" t="s">
        <v>0</v>
      </c>
      <c r="D48">
        <v>10</v>
      </c>
      <c r="E48">
        <v>3</v>
      </c>
      <c r="G48">
        <f t="shared" si="2"/>
        <v>13</v>
      </c>
      <c r="H48" t="s">
        <v>13</v>
      </c>
      <c r="I48">
        <v>18</v>
      </c>
      <c r="J48">
        <v>1</v>
      </c>
      <c r="L48">
        <f t="shared" si="11"/>
        <v>19</v>
      </c>
      <c r="W48" s="14">
        <f t="shared" si="8"/>
        <v>14</v>
      </c>
      <c r="X48" s="14">
        <f t="shared" si="8"/>
        <v>2</v>
      </c>
      <c r="Y48" s="14" t="e">
        <f t="shared" si="8"/>
        <v>#DIV/0!</v>
      </c>
      <c r="Z48" s="14">
        <f t="shared" si="10"/>
        <v>16</v>
      </c>
      <c r="AA48" s="6" t="s">
        <v>196</v>
      </c>
    </row>
    <row r="49" spans="1:30">
      <c r="B49" t="s">
        <v>73</v>
      </c>
      <c r="C49" t="s">
        <v>0</v>
      </c>
      <c r="D49">
        <v>30</v>
      </c>
      <c r="E49">
        <v>6</v>
      </c>
      <c r="G49">
        <f t="shared" si="2"/>
        <v>36</v>
      </c>
      <c r="H49" t="s">
        <v>13</v>
      </c>
      <c r="I49">
        <v>19</v>
      </c>
      <c r="J49">
        <v>2</v>
      </c>
      <c r="L49">
        <f t="shared" si="11"/>
        <v>21</v>
      </c>
      <c r="W49" s="14">
        <f t="shared" si="8"/>
        <v>24.5</v>
      </c>
      <c r="X49" s="14">
        <f t="shared" si="8"/>
        <v>4</v>
      </c>
      <c r="Y49" s="14" t="e">
        <f t="shared" si="8"/>
        <v>#DIV/0!</v>
      </c>
      <c r="Z49" s="14">
        <f t="shared" si="10"/>
        <v>28.5</v>
      </c>
      <c r="AA49" s="6" t="s">
        <v>197</v>
      </c>
    </row>
    <row r="50" spans="1:30">
      <c r="B50" t="s">
        <v>74</v>
      </c>
      <c r="C50" t="s">
        <v>0</v>
      </c>
      <c r="D50">
        <v>34</v>
      </c>
      <c r="E50">
        <v>2</v>
      </c>
      <c r="G50">
        <f t="shared" si="2"/>
        <v>36</v>
      </c>
      <c r="H50" t="s">
        <v>13</v>
      </c>
      <c r="I50">
        <v>51</v>
      </c>
      <c r="J50">
        <v>1</v>
      </c>
      <c r="L50">
        <f t="shared" si="11"/>
        <v>52</v>
      </c>
      <c r="W50" s="14">
        <f t="shared" si="8"/>
        <v>42.5</v>
      </c>
      <c r="X50" s="14">
        <f t="shared" si="8"/>
        <v>1.5</v>
      </c>
      <c r="Y50" s="14" t="e">
        <f t="shared" si="8"/>
        <v>#DIV/0!</v>
      </c>
      <c r="Z50" s="14">
        <f t="shared" si="10"/>
        <v>44</v>
      </c>
      <c r="AA50" s="6" t="s">
        <v>198</v>
      </c>
    </row>
    <row r="51" spans="1:30">
      <c r="B51" t="s">
        <v>75</v>
      </c>
      <c r="C51" t="s">
        <v>0</v>
      </c>
      <c r="D51">
        <v>11</v>
      </c>
      <c r="E51">
        <v>3</v>
      </c>
      <c r="G51">
        <f t="shared" si="2"/>
        <v>14</v>
      </c>
      <c r="W51" s="14">
        <f t="shared" si="8"/>
        <v>11</v>
      </c>
      <c r="X51" s="14">
        <f t="shared" si="8"/>
        <v>3</v>
      </c>
      <c r="Y51" s="14" t="e">
        <f>AVERAGE(F51,K51,P51,U51)</f>
        <v>#DIV/0!</v>
      </c>
      <c r="Z51" s="14">
        <f t="shared" si="10"/>
        <v>14</v>
      </c>
      <c r="AA51" s="7" t="s">
        <v>199</v>
      </c>
    </row>
    <row r="52" spans="1:30">
      <c r="B52" t="s">
        <v>76</v>
      </c>
      <c r="C52" t="s">
        <v>0</v>
      </c>
      <c r="D52">
        <v>32</v>
      </c>
      <c r="E52">
        <v>1</v>
      </c>
      <c r="G52">
        <f t="shared" si="2"/>
        <v>33</v>
      </c>
      <c r="H52" t="s">
        <v>13</v>
      </c>
      <c r="I52">
        <v>20</v>
      </c>
      <c r="J52">
        <v>4</v>
      </c>
      <c r="L52">
        <f>J52+I52</f>
        <v>24</v>
      </c>
      <c r="W52" s="14">
        <f t="shared" si="8"/>
        <v>26</v>
      </c>
      <c r="X52" s="14">
        <f t="shared" si="8"/>
        <v>2.5</v>
      </c>
      <c r="Y52" s="14" t="e">
        <f t="shared" si="8"/>
        <v>#DIV/0!</v>
      </c>
      <c r="Z52" s="14">
        <f t="shared" si="10"/>
        <v>28.5</v>
      </c>
      <c r="AA52" s="6" t="s">
        <v>200</v>
      </c>
    </row>
    <row r="53" spans="1:30">
      <c r="B53" t="s">
        <v>77</v>
      </c>
      <c r="C53" t="s">
        <v>0</v>
      </c>
      <c r="D53">
        <v>23</v>
      </c>
      <c r="G53">
        <f t="shared" si="2"/>
        <v>23</v>
      </c>
      <c r="H53" t="s">
        <v>13</v>
      </c>
      <c r="I53">
        <v>17</v>
      </c>
      <c r="J53">
        <v>2</v>
      </c>
      <c r="L53">
        <f>J53+I53</f>
        <v>19</v>
      </c>
      <c r="W53" s="14">
        <f t="shared" si="8"/>
        <v>20</v>
      </c>
      <c r="X53" s="14">
        <f t="shared" si="8"/>
        <v>2</v>
      </c>
      <c r="Y53" s="14" t="e">
        <f t="shared" si="8"/>
        <v>#DIV/0!</v>
      </c>
      <c r="Z53" s="14">
        <f t="shared" si="10"/>
        <v>21</v>
      </c>
      <c r="AA53" s="6" t="s">
        <v>201</v>
      </c>
    </row>
    <row r="54" spans="1:30">
      <c r="A54" s="4">
        <v>45788</v>
      </c>
      <c r="B54" t="s">
        <v>78</v>
      </c>
      <c r="C54" t="s">
        <v>0</v>
      </c>
      <c r="D54">
        <v>80</v>
      </c>
      <c r="E54">
        <v>3</v>
      </c>
      <c r="G54">
        <f t="shared" si="2"/>
        <v>83</v>
      </c>
      <c r="H54" t="s">
        <v>13</v>
      </c>
      <c r="I54">
        <v>17</v>
      </c>
      <c r="J54">
        <v>5</v>
      </c>
      <c r="L54">
        <f>J54+I54</f>
        <v>22</v>
      </c>
      <c r="W54" s="14">
        <f t="shared" si="8"/>
        <v>48.5</v>
      </c>
      <c r="X54" s="14">
        <f t="shared" si="8"/>
        <v>4</v>
      </c>
      <c r="Y54" s="14" t="e">
        <f t="shared" si="8"/>
        <v>#DIV/0!</v>
      </c>
      <c r="Z54" s="14">
        <f t="shared" si="10"/>
        <v>52.5</v>
      </c>
      <c r="AA54" s="6" t="s">
        <v>202</v>
      </c>
    </row>
    <row r="55" spans="1:30">
      <c r="A55" s="4">
        <v>45856</v>
      </c>
      <c r="B55" t="s">
        <v>79</v>
      </c>
      <c r="C55" t="s">
        <v>20</v>
      </c>
      <c r="D55">
        <v>61</v>
      </c>
      <c r="E55">
        <v>40</v>
      </c>
      <c r="F55">
        <v>25</v>
      </c>
      <c r="G55">
        <f>D55+E55+F55</f>
        <v>126</v>
      </c>
      <c r="H55" t="s">
        <v>13</v>
      </c>
      <c r="I55">
        <v>32</v>
      </c>
      <c r="J55">
        <v>18</v>
      </c>
      <c r="K55">
        <v>11</v>
      </c>
      <c r="L55">
        <f>K55+J55+I55</f>
        <v>61</v>
      </c>
      <c r="M55" t="s">
        <v>20</v>
      </c>
      <c r="N55">
        <v>64</v>
      </c>
      <c r="O55">
        <v>27</v>
      </c>
      <c r="P55">
        <v>17</v>
      </c>
      <c r="Q55">
        <f>SUM(N55:P55)</f>
        <v>108</v>
      </c>
      <c r="W55" s="14">
        <f t="shared" ref="W55:W59" si="12">AVERAGE(D55,I55,N55,S55)</f>
        <v>52.333333333333336</v>
      </c>
      <c r="X55" s="14">
        <f t="shared" ref="X55:X59" si="13">AVERAGE(E55,J55,O55,T55)</f>
        <v>28.333333333333332</v>
      </c>
      <c r="Y55" s="14">
        <f t="shared" ref="Y55:Y59" si="14">AVERAGE(F55,K55,P55,U55)</f>
        <v>17.666666666666668</v>
      </c>
      <c r="Z55" s="14">
        <f>AVERAGE(G55,L55,Q55,V55)</f>
        <v>98.333333333333329</v>
      </c>
      <c r="AA55" s="6" t="s">
        <v>203</v>
      </c>
    </row>
    <row r="56" spans="1:30">
      <c r="B56" t="s">
        <v>80</v>
      </c>
      <c r="C56" t="s">
        <v>20</v>
      </c>
      <c r="D56">
        <v>50</v>
      </c>
      <c r="E56">
        <v>47</v>
      </c>
      <c r="F56">
        <v>28</v>
      </c>
      <c r="G56">
        <f t="shared" si="2"/>
        <v>125</v>
      </c>
      <c r="W56" s="14">
        <f t="shared" si="12"/>
        <v>50</v>
      </c>
      <c r="X56" s="14">
        <f t="shared" si="13"/>
        <v>47</v>
      </c>
      <c r="Y56" s="14">
        <f t="shared" si="14"/>
        <v>28</v>
      </c>
      <c r="Z56" s="14">
        <f t="shared" ref="Z56:Z59" si="15">AVERAGE(G56,L56,Q56,V56)</f>
        <v>125</v>
      </c>
      <c r="AA56" s="6" t="s">
        <v>204</v>
      </c>
    </row>
    <row r="57" spans="1:30">
      <c r="B57" t="s">
        <v>81</v>
      </c>
      <c r="C57" t="s">
        <v>20</v>
      </c>
      <c r="D57">
        <v>58</v>
      </c>
      <c r="E57">
        <v>33</v>
      </c>
      <c r="F57">
        <v>19</v>
      </c>
      <c r="G57">
        <f t="shared" si="2"/>
        <v>110</v>
      </c>
      <c r="W57" s="14">
        <f t="shared" si="12"/>
        <v>58</v>
      </c>
      <c r="X57" s="14">
        <f t="shared" si="13"/>
        <v>33</v>
      </c>
      <c r="Y57" s="14">
        <f t="shared" si="14"/>
        <v>19</v>
      </c>
      <c r="Z57" s="14">
        <f t="shared" si="15"/>
        <v>110</v>
      </c>
      <c r="AA57" s="6" t="s">
        <v>205</v>
      </c>
    </row>
    <row r="58" spans="1:30">
      <c r="B58" t="s">
        <v>82</v>
      </c>
      <c r="C58" t="s">
        <v>20</v>
      </c>
      <c r="D58">
        <v>44</v>
      </c>
      <c r="E58">
        <v>64</v>
      </c>
      <c r="F58">
        <v>31</v>
      </c>
      <c r="G58">
        <f t="shared" si="2"/>
        <v>139</v>
      </c>
      <c r="W58" s="14">
        <f t="shared" si="12"/>
        <v>44</v>
      </c>
      <c r="X58" s="14">
        <f t="shared" si="13"/>
        <v>64</v>
      </c>
      <c r="Y58" s="14">
        <f t="shared" si="14"/>
        <v>31</v>
      </c>
      <c r="Z58" s="14">
        <f t="shared" si="15"/>
        <v>139</v>
      </c>
      <c r="AA58" s="6" t="s">
        <v>206</v>
      </c>
    </row>
    <row r="59" spans="1:30">
      <c r="B59" t="s">
        <v>83</v>
      </c>
      <c r="C59" t="s">
        <v>20</v>
      </c>
      <c r="D59">
        <v>60</v>
      </c>
      <c r="E59">
        <v>172</v>
      </c>
      <c r="F59">
        <v>57</v>
      </c>
      <c r="G59">
        <f t="shared" si="2"/>
        <v>289</v>
      </c>
      <c r="W59" s="14">
        <f t="shared" si="12"/>
        <v>60</v>
      </c>
      <c r="X59" s="14">
        <f t="shared" si="13"/>
        <v>172</v>
      </c>
      <c r="Y59" s="14">
        <f t="shared" si="14"/>
        <v>57</v>
      </c>
      <c r="Z59" s="14">
        <f t="shared" si="15"/>
        <v>289</v>
      </c>
      <c r="AA59" s="6" t="s">
        <v>207</v>
      </c>
    </row>
    <row r="60" spans="1:30">
      <c r="B60" t="s">
        <v>84</v>
      </c>
      <c r="C60" t="s">
        <v>20</v>
      </c>
      <c r="D60">
        <v>26</v>
      </c>
      <c r="E60">
        <v>8</v>
      </c>
      <c r="F60">
        <v>19</v>
      </c>
      <c r="G60">
        <f t="shared" si="2"/>
        <v>53</v>
      </c>
      <c r="W60" s="14">
        <f t="shared" ref="W60:W65" si="16">AVERAGE(D60,I60,N60,S60)</f>
        <v>26</v>
      </c>
      <c r="X60" s="14">
        <f t="shared" ref="X60:X65" si="17">AVERAGE(E60,J60,O60,T60)</f>
        <v>8</v>
      </c>
      <c r="Y60" s="14">
        <f t="shared" ref="Y60:Y65" si="18">AVERAGE(F60,K60,P60,U60)</f>
        <v>19</v>
      </c>
      <c r="Z60" s="14">
        <f t="shared" ref="Z60:Z65" si="19">AVERAGE(G60,L60,Q60,V60)</f>
        <v>53</v>
      </c>
      <c r="AA60" s="6" t="s">
        <v>208</v>
      </c>
    </row>
    <row r="61" spans="1:30">
      <c r="B61" t="s">
        <v>85</v>
      </c>
      <c r="C61" t="s">
        <v>20</v>
      </c>
      <c r="D61">
        <v>24</v>
      </c>
      <c r="E61">
        <v>5</v>
      </c>
      <c r="F61">
        <v>8</v>
      </c>
      <c r="G61">
        <f t="shared" si="2"/>
        <v>37</v>
      </c>
      <c r="W61" s="14">
        <f t="shared" si="16"/>
        <v>24</v>
      </c>
      <c r="X61" s="14">
        <f t="shared" si="17"/>
        <v>5</v>
      </c>
      <c r="Y61" s="14">
        <f t="shared" si="18"/>
        <v>8</v>
      </c>
      <c r="Z61" s="14">
        <f t="shared" si="19"/>
        <v>37</v>
      </c>
      <c r="AA61" s="6" t="s">
        <v>209</v>
      </c>
    </row>
    <row r="62" spans="1:30">
      <c r="B62" t="s">
        <v>86</v>
      </c>
      <c r="C62" t="s">
        <v>20</v>
      </c>
      <c r="D62">
        <v>26</v>
      </c>
      <c r="E62">
        <v>6</v>
      </c>
      <c r="F62">
        <v>5</v>
      </c>
      <c r="G62">
        <f t="shared" si="2"/>
        <v>37</v>
      </c>
      <c r="W62" s="14">
        <f t="shared" si="16"/>
        <v>26</v>
      </c>
      <c r="X62" s="14">
        <f t="shared" si="17"/>
        <v>6</v>
      </c>
      <c r="Y62" s="14">
        <f t="shared" si="18"/>
        <v>5</v>
      </c>
      <c r="Z62" s="14">
        <f t="shared" si="19"/>
        <v>37</v>
      </c>
      <c r="AA62" s="6" t="s">
        <v>210</v>
      </c>
    </row>
    <row r="63" spans="1:30">
      <c r="B63" t="s">
        <v>87</v>
      </c>
      <c r="C63" t="s">
        <v>20</v>
      </c>
      <c r="D63">
        <v>21</v>
      </c>
      <c r="E63">
        <v>1</v>
      </c>
      <c r="F63">
        <v>0</v>
      </c>
      <c r="G63">
        <f t="shared" si="2"/>
        <v>22</v>
      </c>
      <c r="W63" s="14">
        <f t="shared" si="16"/>
        <v>21</v>
      </c>
      <c r="X63" s="14">
        <f t="shared" si="17"/>
        <v>1</v>
      </c>
      <c r="Y63" s="14">
        <f t="shared" si="18"/>
        <v>0</v>
      </c>
      <c r="Z63" s="14">
        <f t="shared" si="19"/>
        <v>22</v>
      </c>
      <c r="AA63" s="6" t="s">
        <v>211</v>
      </c>
    </row>
    <row r="64" spans="1:30">
      <c r="B64" t="s">
        <v>88</v>
      </c>
      <c r="C64" t="s">
        <v>20</v>
      </c>
      <c r="D64">
        <v>31</v>
      </c>
      <c r="E64">
        <v>4</v>
      </c>
      <c r="F64">
        <v>0</v>
      </c>
      <c r="G64">
        <f t="shared" si="2"/>
        <v>35</v>
      </c>
      <c r="W64" s="14">
        <f t="shared" si="16"/>
        <v>31</v>
      </c>
      <c r="X64" s="14">
        <f t="shared" si="17"/>
        <v>4</v>
      </c>
      <c r="Y64" s="14">
        <f t="shared" si="18"/>
        <v>0</v>
      </c>
      <c r="Z64" s="14">
        <f t="shared" si="19"/>
        <v>35</v>
      </c>
      <c r="AA64" s="6" t="s">
        <v>212</v>
      </c>
      <c r="AD64" s="14">
        <f>AVERAGE(Z3:Z65)</f>
        <v>56.392857142857153</v>
      </c>
    </row>
    <row r="65" spans="2:37">
      <c r="B65" t="s">
        <v>89</v>
      </c>
      <c r="C65" t="s">
        <v>20</v>
      </c>
      <c r="D65">
        <v>15</v>
      </c>
      <c r="E65">
        <v>2</v>
      </c>
      <c r="F65">
        <v>5</v>
      </c>
      <c r="G65">
        <f t="shared" si="2"/>
        <v>22</v>
      </c>
      <c r="W65" s="14">
        <f t="shared" si="16"/>
        <v>15</v>
      </c>
      <c r="X65" s="14">
        <f t="shared" si="17"/>
        <v>2</v>
      </c>
      <c r="Y65" s="14">
        <f t="shared" si="18"/>
        <v>5</v>
      </c>
      <c r="Z65" s="14">
        <f t="shared" si="19"/>
        <v>22</v>
      </c>
      <c r="AA65" s="6" t="s">
        <v>213</v>
      </c>
      <c r="AD65">
        <f>STDEV(Z3:Z65)/SQRT(COUNT(Z3:Z65))</f>
        <v>6.5516868929098777</v>
      </c>
    </row>
    <row r="66" spans="2:37">
      <c r="Z66" s="14">
        <f>SUM(Z3:Z65)</f>
        <v>3552.7500000000005</v>
      </c>
    </row>
    <row r="68" spans="2:37">
      <c r="B68" t="s">
        <v>214</v>
      </c>
      <c r="C68" t="s">
        <v>138</v>
      </c>
      <c r="D68" t="s">
        <v>10</v>
      </c>
      <c r="E68" t="s">
        <v>11</v>
      </c>
      <c r="F68" t="s">
        <v>12</v>
      </c>
      <c r="G68" t="s">
        <v>139</v>
      </c>
      <c r="H68" t="s">
        <v>138</v>
      </c>
      <c r="I68" t="s">
        <v>10</v>
      </c>
      <c r="J68" t="s">
        <v>11</v>
      </c>
      <c r="K68" t="s">
        <v>12</v>
      </c>
      <c r="L68" t="s">
        <v>139</v>
      </c>
      <c r="M68" t="s">
        <v>138</v>
      </c>
      <c r="N68" t="s">
        <v>10</v>
      </c>
      <c r="O68" t="s">
        <v>11</v>
      </c>
      <c r="P68" t="s">
        <v>12</v>
      </c>
      <c r="Q68" t="s">
        <v>139</v>
      </c>
      <c r="R68" t="s">
        <v>138</v>
      </c>
      <c r="S68" t="s">
        <v>10</v>
      </c>
      <c r="T68" t="s">
        <v>11</v>
      </c>
      <c r="U68" t="s">
        <v>12</v>
      </c>
      <c r="V68" t="s">
        <v>139</v>
      </c>
      <c r="W68" s="14" t="s">
        <v>140</v>
      </c>
      <c r="X68" s="14" t="s">
        <v>141</v>
      </c>
      <c r="Y68" s="14" t="s">
        <v>142</v>
      </c>
      <c r="Z68" s="14" t="s">
        <v>215</v>
      </c>
      <c r="AA68" t="s">
        <v>144</v>
      </c>
      <c r="AB68" t="s">
        <v>138</v>
      </c>
      <c r="AC68" t="s">
        <v>10</v>
      </c>
      <c r="AD68" t="s">
        <v>11</v>
      </c>
      <c r="AE68" t="s">
        <v>12</v>
      </c>
      <c r="AF68" t="s">
        <v>139</v>
      </c>
      <c r="AG68" t="s">
        <v>138</v>
      </c>
      <c r="AH68" t="s">
        <v>10</v>
      </c>
      <c r="AI68" t="s">
        <v>11</v>
      </c>
      <c r="AJ68" t="s">
        <v>12</v>
      </c>
      <c r="AK68" t="s">
        <v>139</v>
      </c>
    </row>
    <row r="69" spans="2:37">
      <c r="B69" t="s">
        <v>92</v>
      </c>
      <c r="C69" t="s">
        <v>0</v>
      </c>
      <c r="D69">
        <v>105</v>
      </c>
      <c r="G69">
        <f>D69+E69</f>
        <v>105</v>
      </c>
      <c r="H69" t="s">
        <v>20</v>
      </c>
      <c r="I69">
        <v>82</v>
      </c>
      <c r="J69">
        <v>19</v>
      </c>
      <c r="K69">
        <v>22</v>
      </c>
      <c r="L69">
        <f>SUM(I69:K69)</f>
        <v>123</v>
      </c>
      <c r="M69" t="s">
        <v>13</v>
      </c>
      <c r="N69">
        <v>32</v>
      </c>
      <c r="O69">
        <v>5</v>
      </c>
      <c r="P69">
        <v>10</v>
      </c>
      <c r="Q69">
        <f>SUM(N69:P69)</f>
        <v>47</v>
      </c>
      <c r="W69" s="14">
        <f t="shared" ref="W69:W95" si="20">AVERAGE(D69,I69,N69,S69,AC69,AH69)</f>
        <v>73</v>
      </c>
      <c r="X69" s="14">
        <f t="shared" ref="X69:X95" si="21">AVERAGE(E69,J69,O69,T69,AD69,AI69)</f>
        <v>12</v>
      </c>
      <c r="Y69" s="14">
        <f t="shared" ref="Y69:Y95" si="22">AVERAGE(F69,K69,P69,U69,AE69,AJ69)</f>
        <v>16</v>
      </c>
      <c r="Z69" s="14">
        <f t="shared" ref="Z69:Z95" si="23">AVERAGE(G69,L69,Q69,V69)</f>
        <v>91.666666666666671</v>
      </c>
      <c r="AA69" s="8" t="s">
        <v>216</v>
      </c>
    </row>
    <row r="70" spans="2:37">
      <c r="B70" t="s">
        <v>95</v>
      </c>
      <c r="C70" t="s">
        <v>0</v>
      </c>
      <c r="D70">
        <v>105</v>
      </c>
      <c r="G70">
        <f t="shared" ref="G70:G91" si="24">D70+E70</f>
        <v>105</v>
      </c>
      <c r="H70" t="s">
        <v>20</v>
      </c>
      <c r="I70">
        <v>84</v>
      </c>
      <c r="J70">
        <v>28</v>
      </c>
      <c r="K70">
        <v>10</v>
      </c>
      <c r="L70">
        <f t="shared" ref="L70:L84" si="25">SUM(I70:K70)</f>
        <v>122</v>
      </c>
      <c r="M70" t="s">
        <v>13</v>
      </c>
      <c r="N70">
        <v>18</v>
      </c>
      <c r="O70">
        <v>4</v>
      </c>
      <c r="P70" s="11">
        <v>2</v>
      </c>
      <c r="Q70">
        <f t="shared" ref="Q70:Q75" si="26">SUM(N70:P70)</f>
        <v>24</v>
      </c>
      <c r="W70" s="14">
        <f t="shared" si="20"/>
        <v>69</v>
      </c>
      <c r="X70" s="14">
        <f t="shared" si="21"/>
        <v>16</v>
      </c>
      <c r="Y70" s="14">
        <f t="shared" si="22"/>
        <v>6</v>
      </c>
      <c r="Z70" s="14">
        <f t="shared" si="23"/>
        <v>83.666666666666671</v>
      </c>
      <c r="AA70" s="8" t="s">
        <v>217</v>
      </c>
    </row>
    <row r="71" spans="2:37">
      <c r="B71" t="s">
        <v>96</v>
      </c>
      <c r="C71" t="s">
        <v>0</v>
      </c>
      <c r="D71">
        <v>45</v>
      </c>
      <c r="G71">
        <f t="shared" si="24"/>
        <v>45</v>
      </c>
      <c r="H71" t="s">
        <v>20</v>
      </c>
      <c r="I71">
        <v>36</v>
      </c>
      <c r="J71">
        <v>12</v>
      </c>
      <c r="K71">
        <v>136</v>
      </c>
      <c r="L71">
        <f t="shared" si="25"/>
        <v>184</v>
      </c>
      <c r="M71" t="s">
        <v>13</v>
      </c>
      <c r="N71">
        <v>12</v>
      </c>
      <c r="O71">
        <v>1</v>
      </c>
      <c r="P71" s="11">
        <v>18</v>
      </c>
      <c r="Q71">
        <f t="shared" si="26"/>
        <v>31</v>
      </c>
      <c r="W71" s="14">
        <f t="shared" si="20"/>
        <v>31</v>
      </c>
      <c r="X71" s="14">
        <f t="shared" si="21"/>
        <v>6.5</v>
      </c>
      <c r="Y71" s="14">
        <f t="shared" si="22"/>
        <v>77</v>
      </c>
      <c r="Z71" s="14">
        <f t="shared" si="23"/>
        <v>86.666666666666671</v>
      </c>
      <c r="AA71" s="8" t="s">
        <v>218</v>
      </c>
    </row>
    <row r="72" spans="2:37">
      <c r="B72" t="s">
        <v>97</v>
      </c>
      <c r="C72" t="s">
        <v>0</v>
      </c>
      <c r="D72">
        <v>23</v>
      </c>
      <c r="G72">
        <f t="shared" si="24"/>
        <v>23</v>
      </c>
      <c r="H72" t="s">
        <v>20</v>
      </c>
      <c r="I72">
        <v>38</v>
      </c>
      <c r="J72">
        <v>16</v>
      </c>
      <c r="K72">
        <v>9</v>
      </c>
      <c r="L72">
        <f t="shared" si="25"/>
        <v>63</v>
      </c>
      <c r="M72" t="s">
        <v>20</v>
      </c>
      <c r="N72">
        <v>33</v>
      </c>
      <c r="O72">
        <v>7</v>
      </c>
      <c r="P72" s="11">
        <v>6</v>
      </c>
      <c r="Q72">
        <f t="shared" si="26"/>
        <v>46</v>
      </c>
      <c r="R72" t="s">
        <v>13</v>
      </c>
      <c r="S72">
        <v>14</v>
      </c>
      <c r="T72">
        <v>2</v>
      </c>
      <c r="U72" s="11">
        <v>2</v>
      </c>
      <c r="V72">
        <f>SUM(S72:U72)</f>
        <v>18</v>
      </c>
      <c r="W72" s="14">
        <f>AVERAGE(D72,I72,N72,S72,AC72,AH72)</f>
        <v>29.833333333333332</v>
      </c>
      <c r="X72" s="14">
        <f t="shared" si="21"/>
        <v>9</v>
      </c>
      <c r="Y72" s="14">
        <f>AVERAGE(F72, K72,P72,U72,AE72,AJ72)</f>
        <v>5.8</v>
      </c>
      <c r="Z72" s="14">
        <f>AVERAGE(G72,L72,Q72,V72, AF72, AK72)</f>
        <v>42.166666666666664</v>
      </c>
      <c r="AA72" s="8" t="s">
        <v>219</v>
      </c>
      <c r="AB72" t="s">
        <v>20</v>
      </c>
      <c r="AC72">
        <v>35</v>
      </c>
      <c r="AD72">
        <v>6</v>
      </c>
      <c r="AE72">
        <v>6</v>
      </c>
      <c r="AF72">
        <f>SUM(AC72:AE72)</f>
        <v>47</v>
      </c>
      <c r="AG72" t="s">
        <v>20</v>
      </c>
      <c r="AH72">
        <v>36</v>
      </c>
      <c r="AI72">
        <v>14</v>
      </c>
      <c r="AJ72">
        <v>6</v>
      </c>
      <c r="AK72">
        <v>56</v>
      </c>
    </row>
    <row r="73" spans="2:37">
      <c r="B73" t="s">
        <v>98</v>
      </c>
      <c r="C73" t="s">
        <v>0</v>
      </c>
      <c r="D73">
        <v>54</v>
      </c>
      <c r="G73">
        <f t="shared" si="24"/>
        <v>54</v>
      </c>
      <c r="H73" t="s">
        <v>20</v>
      </c>
      <c r="I73">
        <v>90</v>
      </c>
      <c r="J73">
        <v>20</v>
      </c>
      <c r="K73">
        <v>5</v>
      </c>
      <c r="L73">
        <f t="shared" si="25"/>
        <v>115</v>
      </c>
      <c r="M73" t="s">
        <v>20</v>
      </c>
      <c r="N73">
        <v>63</v>
      </c>
      <c r="O73">
        <v>13</v>
      </c>
      <c r="P73" s="11">
        <v>3</v>
      </c>
      <c r="Q73">
        <f t="shared" si="26"/>
        <v>79</v>
      </c>
      <c r="R73" t="s">
        <v>13</v>
      </c>
      <c r="S73">
        <v>42</v>
      </c>
      <c r="T73">
        <v>6</v>
      </c>
      <c r="U73" s="11">
        <v>1</v>
      </c>
      <c r="V73">
        <f>SUM(S73:U73)</f>
        <v>49</v>
      </c>
      <c r="W73" s="14">
        <f>AVERAGE(D73,I73,N73,S73, AC73, AH73)</f>
        <v>70.333333333333329</v>
      </c>
      <c r="X73" s="14">
        <f>AVERAGE(E73,J73,O73,T73, AD73, AI73)</f>
        <v>15</v>
      </c>
      <c r="Y73" s="14">
        <f>AVERAGE(F73,K73,P73,U73, AE73, AJ73)</f>
        <v>3</v>
      </c>
      <c r="Z73" s="14">
        <f>AVERAGE(G73,L73,Q73,V73, AF73, AK73)</f>
        <v>85.333333333333329</v>
      </c>
      <c r="AA73" s="8" t="s">
        <v>220</v>
      </c>
      <c r="AB73" t="s">
        <v>20</v>
      </c>
      <c r="AC73">
        <v>88</v>
      </c>
      <c r="AD73">
        <v>19</v>
      </c>
      <c r="AE73">
        <v>3</v>
      </c>
      <c r="AF73">
        <f>SUM(AC73:AE73)</f>
        <v>110</v>
      </c>
      <c r="AG73" t="s">
        <v>20</v>
      </c>
      <c r="AH73">
        <v>85</v>
      </c>
      <c r="AI73">
        <v>17</v>
      </c>
      <c r="AJ73">
        <v>3</v>
      </c>
      <c r="AK73">
        <v>105</v>
      </c>
    </row>
    <row r="74" spans="2:37">
      <c r="B74" t="s">
        <v>99</v>
      </c>
      <c r="C74" t="s">
        <v>0</v>
      </c>
      <c r="D74">
        <v>18</v>
      </c>
      <c r="G74">
        <f t="shared" si="24"/>
        <v>18</v>
      </c>
      <c r="H74" t="s">
        <v>20</v>
      </c>
      <c r="I74">
        <v>40</v>
      </c>
      <c r="J74">
        <v>19</v>
      </c>
      <c r="K74">
        <v>37</v>
      </c>
      <c r="L74">
        <f t="shared" si="25"/>
        <v>96</v>
      </c>
      <c r="M74" t="s">
        <v>20</v>
      </c>
      <c r="N74">
        <v>41</v>
      </c>
      <c r="O74">
        <v>20</v>
      </c>
      <c r="P74" s="11">
        <v>51</v>
      </c>
      <c r="Q74">
        <f t="shared" si="26"/>
        <v>112</v>
      </c>
      <c r="R74" t="s">
        <v>13</v>
      </c>
      <c r="S74">
        <v>14</v>
      </c>
      <c r="T74">
        <v>2</v>
      </c>
      <c r="U74" s="11">
        <v>2</v>
      </c>
      <c r="V74">
        <f t="shared" ref="V74:V80" si="27">SUM(S74:U74)</f>
        <v>18</v>
      </c>
      <c r="W74" s="14">
        <f t="shared" si="20"/>
        <v>28.25</v>
      </c>
      <c r="X74" s="14">
        <f t="shared" si="21"/>
        <v>13.666666666666666</v>
      </c>
      <c r="Y74" s="14">
        <f t="shared" si="22"/>
        <v>30</v>
      </c>
      <c r="Z74" s="14">
        <f t="shared" si="23"/>
        <v>61</v>
      </c>
      <c r="AA74" s="8" t="s">
        <v>221</v>
      </c>
    </row>
    <row r="75" spans="2:37">
      <c r="B75" t="s">
        <v>100</v>
      </c>
      <c r="C75" t="s">
        <v>0</v>
      </c>
      <c r="D75">
        <v>92</v>
      </c>
      <c r="G75">
        <f t="shared" si="24"/>
        <v>92</v>
      </c>
      <c r="H75" t="s">
        <v>20</v>
      </c>
      <c r="I75">
        <v>98</v>
      </c>
      <c r="J75">
        <v>23</v>
      </c>
      <c r="K75">
        <v>29</v>
      </c>
      <c r="L75">
        <f t="shared" si="25"/>
        <v>150</v>
      </c>
      <c r="M75" t="s">
        <v>20</v>
      </c>
      <c r="N75">
        <v>94</v>
      </c>
      <c r="O75">
        <v>28</v>
      </c>
      <c r="P75" s="11">
        <v>39</v>
      </c>
      <c r="Q75">
        <f t="shared" si="26"/>
        <v>161</v>
      </c>
      <c r="R75" t="s">
        <v>13</v>
      </c>
      <c r="S75">
        <v>45</v>
      </c>
      <c r="T75">
        <v>5</v>
      </c>
      <c r="U75" s="11">
        <v>8</v>
      </c>
      <c r="V75">
        <f t="shared" si="27"/>
        <v>58</v>
      </c>
      <c r="W75" s="14">
        <f t="shared" si="20"/>
        <v>82.25</v>
      </c>
      <c r="X75" s="14">
        <f t="shared" si="21"/>
        <v>18.666666666666668</v>
      </c>
      <c r="Y75" s="14">
        <f t="shared" si="22"/>
        <v>25.333333333333332</v>
      </c>
      <c r="Z75" s="14">
        <f t="shared" si="23"/>
        <v>115.25</v>
      </c>
      <c r="AA75" s="8" t="s">
        <v>222</v>
      </c>
    </row>
    <row r="76" spans="2:37">
      <c r="B76" t="s">
        <v>101</v>
      </c>
      <c r="C76" t="s">
        <v>0</v>
      </c>
      <c r="D76">
        <v>169</v>
      </c>
      <c r="E76">
        <v>1</v>
      </c>
      <c r="G76">
        <f t="shared" si="24"/>
        <v>170</v>
      </c>
      <c r="H76" t="s">
        <v>20</v>
      </c>
      <c r="I76">
        <v>158</v>
      </c>
      <c r="J76">
        <v>25</v>
      </c>
      <c r="K76">
        <v>9</v>
      </c>
      <c r="L76">
        <f t="shared" si="25"/>
        <v>192</v>
      </c>
      <c r="P76" s="11"/>
      <c r="R76" t="s">
        <v>13</v>
      </c>
      <c r="S76">
        <v>77</v>
      </c>
      <c r="T76">
        <v>2</v>
      </c>
      <c r="U76" s="11">
        <v>1</v>
      </c>
      <c r="V76">
        <f t="shared" si="27"/>
        <v>80</v>
      </c>
      <c r="W76" s="14">
        <f t="shared" si="20"/>
        <v>134.66666666666666</v>
      </c>
      <c r="X76" s="14">
        <f t="shared" si="21"/>
        <v>9.3333333333333339</v>
      </c>
      <c r="Y76" s="14">
        <f t="shared" si="22"/>
        <v>5</v>
      </c>
      <c r="Z76" s="14">
        <f t="shared" si="23"/>
        <v>147.33333333333334</v>
      </c>
      <c r="AA76" s="8" t="s">
        <v>223</v>
      </c>
    </row>
    <row r="77" spans="2:37">
      <c r="B77" t="s">
        <v>102</v>
      </c>
      <c r="C77" t="s">
        <v>0</v>
      </c>
      <c r="D77">
        <f>38*5</f>
        <v>190</v>
      </c>
      <c r="G77">
        <f t="shared" si="24"/>
        <v>190</v>
      </c>
      <c r="H77" t="s">
        <v>20</v>
      </c>
      <c r="I77">
        <v>143</v>
      </c>
      <c r="J77">
        <v>20</v>
      </c>
      <c r="K77">
        <v>21</v>
      </c>
      <c r="L77">
        <f t="shared" si="25"/>
        <v>184</v>
      </c>
      <c r="P77" s="11"/>
      <c r="R77" t="s">
        <v>13</v>
      </c>
      <c r="S77">
        <v>60</v>
      </c>
      <c r="T77">
        <v>2</v>
      </c>
      <c r="U77" s="11">
        <v>1</v>
      </c>
      <c r="V77">
        <f t="shared" si="27"/>
        <v>63</v>
      </c>
      <c r="W77" s="14">
        <f t="shared" si="20"/>
        <v>131</v>
      </c>
      <c r="X77" s="14">
        <f t="shared" si="21"/>
        <v>11</v>
      </c>
      <c r="Y77" s="14">
        <f t="shared" si="22"/>
        <v>11</v>
      </c>
      <c r="Z77" s="14">
        <f t="shared" si="23"/>
        <v>145.66666666666666</v>
      </c>
      <c r="AA77" s="8" t="s">
        <v>224</v>
      </c>
    </row>
    <row r="78" spans="2:37">
      <c r="B78" t="s">
        <v>103</v>
      </c>
      <c r="C78" t="s">
        <v>0</v>
      </c>
      <c r="D78">
        <v>121</v>
      </c>
      <c r="E78">
        <v>12</v>
      </c>
      <c r="G78">
        <f t="shared" si="24"/>
        <v>133</v>
      </c>
      <c r="H78" t="s">
        <v>20</v>
      </c>
      <c r="I78">
        <v>110</v>
      </c>
      <c r="J78">
        <v>23</v>
      </c>
      <c r="K78">
        <v>17</v>
      </c>
      <c r="L78">
        <f t="shared" si="25"/>
        <v>150</v>
      </c>
      <c r="P78" s="11"/>
      <c r="R78" t="s">
        <v>13</v>
      </c>
      <c r="S78">
        <v>29</v>
      </c>
      <c r="T78">
        <v>2</v>
      </c>
      <c r="U78" s="11"/>
      <c r="V78">
        <f t="shared" si="27"/>
        <v>31</v>
      </c>
      <c r="W78" s="14">
        <f t="shared" si="20"/>
        <v>86.666666666666671</v>
      </c>
      <c r="X78" s="14">
        <f t="shared" si="21"/>
        <v>12.333333333333334</v>
      </c>
      <c r="Y78" s="14">
        <f t="shared" si="22"/>
        <v>17</v>
      </c>
      <c r="Z78" s="14">
        <f t="shared" si="23"/>
        <v>104.66666666666667</v>
      </c>
      <c r="AA78" s="8" t="s">
        <v>225</v>
      </c>
      <c r="AF78" s="11"/>
    </row>
    <row r="79" spans="2:37">
      <c r="B79" t="s">
        <v>104</v>
      </c>
      <c r="C79" t="s">
        <v>0</v>
      </c>
      <c r="D79">
        <v>76</v>
      </c>
      <c r="E79">
        <v>3</v>
      </c>
      <c r="G79">
        <f t="shared" si="24"/>
        <v>79</v>
      </c>
      <c r="H79" t="s">
        <v>20</v>
      </c>
      <c r="I79">
        <v>87</v>
      </c>
      <c r="J79">
        <v>29</v>
      </c>
      <c r="K79">
        <v>16</v>
      </c>
      <c r="L79">
        <f t="shared" si="25"/>
        <v>132</v>
      </c>
      <c r="R79" t="s">
        <v>13</v>
      </c>
      <c r="S79">
        <v>42</v>
      </c>
      <c r="T79">
        <v>7</v>
      </c>
      <c r="U79" s="11">
        <v>2</v>
      </c>
      <c r="V79">
        <f t="shared" si="27"/>
        <v>51</v>
      </c>
      <c r="W79" s="14">
        <f t="shared" si="20"/>
        <v>68.333333333333329</v>
      </c>
      <c r="X79" s="14">
        <f t="shared" si="21"/>
        <v>13</v>
      </c>
      <c r="Y79" s="14">
        <f t="shared" si="22"/>
        <v>9</v>
      </c>
      <c r="Z79" s="14">
        <f t="shared" si="23"/>
        <v>87.333333333333329</v>
      </c>
      <c r="AA79" s="8" t="s">
        <v>226</v>
      </c>
      <c r="AF79" s="11"/>
    </row>
    <row r="80" spans="2:37">
      <c r="B80" t="s">
        <v>105</v>
      </c>
      <c r="C80" t="s">
        <v>0</v>
      </c>
      <c r="D80" s="2">
        <v>161</v>
      </c>
      <c r="G80">
        <f t="shared" si="24"/>
        <v>161</v>
      </c>
      <c r="H80" t="s">
        <v>20</v>
      </c>
      <c r="I80">
        <v>195</v>
      </c>
      <c r="J80">
        <v>22</v>
      </c>
      <c r="K80">
        <v>34</v>
      </c>
      <c r="L80">
        <f t="shared" si="25"/>
        <v>251</v>
      </c>
      <c r="P80" s="11"/>
      <c r="Q80" s="12"/>
      <c r="R80" t="s">
        <v>13</v>
      </c>
      <c r="S80">
        <v>61</v>
      </c>
      <c r="T80">
        <v>9</v>
      </c>
      <c r="U80" s="11">
        <v>8</v>
      </c>
      <c r="V80">
        <f t="shared" si="27"/>
        <v>78</v>
      </c>
      <c r="W80" s="14">
        <f t="shared" si="20"/>
        <v>139</v>
      </c>
      <c r="X80" s="14">
        <f t="shared" si="21"/>
        <v>15.5</v>
      </c>
      <c r="Y80" s="14">
        <f t="shared" si="22"/>
        <v>21</v>
      </c>
      <c r="Z80" s="14">
        <f t="shared" si="23"/>
        <v>163.33333333333334</v>
      </c>
      <c r="AA80" s="8" t="s">
        <v>227</v>
      </c>
      <c r="AF80" s="11"/>
    </row>
    <row r="81" spans="2:32">
      <c r="B81" t="s">
        <v>106</v>
      </c>
      <c r="C81" t="s">
        <v>0</v>
      </c>
      <c r="D81">
        <v>55</v>
      </c>
      <c r="E81">
        <v>9</v>
      </c>
      <c r="G81">
        <f t="shared" si="24"/>
        <v>64</v>
      </c>
      <c r="H81" t="s">
        <v>20</v>
      </c>
      <c r="I81">
        <v>65</v>
      </c>
      <c r="J81">
        <v>23</v>
      </c>
      <c r="K81">
        <v>29</v>
      </c>
      <c r="L81">
        <f t="shared" si="25"/>
        <v>117</v>
      </c>
      <c r="M81" t="s">
        <v>20</v>
      </c>
      <c r="N81">
        <v>47</v>
      </c>
      <c r="O81">
        <v>35</v>
      </c>
      <c r="P81" s="11">
        <v>8</v>
      </c>
      <c r="Q81">
        <f>SUM(N81:P81)</f>
        <v>90</v>
      </c>
      <c r="W81" s="14">
        <f t="shared" si="20"/>
        <v>55.666666666666664</v>
      </c>
      <c r="X81" s="14">
        <f t="shared" si="21"/>
        <v>22.333333333333332</v>
      </c>
      <c r="Y81" s="14">
        <f t="shared" si="22"/>
        <v>18.5</v>
      </c>
      <c r="Z81" s="14">
        <f t="shared" si="23"/>
        <v>90.333333333333329</v>
      </c>
      <c r="AA81" s="8" t="s">
        <v>228</v>
      </c>
      <c r="AF81" s="11"/>
    </row>
    <row r="82" spans="2:32">
      <c r="B82" t="s">
        <v>107</v>
      </c>
      <c r="C82" t="s">
        <v>0</v>
      </c>
      <c r="D82" s="2">
        <v>36</v>
      </c>
      <c r="E82">
        <v>6</v>
      </c>
      <c r="G82">
        <f t="shared" si="24"/>
        <v>42</v>
      </c>
      <c r="H82" t="s">
        <v>20</v>
      </c>
      <c r="I82">
        <v>40</v>
      </c>
      <c r="J82">
        <v>15</v>
      </c>
      <c r="K82">
        <v>23</v>
      </c>
      <c r="L82">
        <f t="shared" si="25"/>
        <v>78</v>
      </c>
      <c r="M82" t="s">
        <v>20</v>
      </c>
      <c r="N82">
        <v>31</v>
      </c>
      <c r="O82">
        <v>15</v>
      </c>
      <c r="P82" s="11">
        <v>19</v>
      </c>
      <c r="Q82">
        <f t="shared" ref="Q82:Q83" si="28">SUM(N82:P82)</f>
        <v>65</v>
      </c>
      <c r="U82" s="11"/>
      <c r="W82" s="14">
        <f t="shared" si="20"/>
        <v>35.666666666666664</v>
      </c>
      <c r="X82" s="14">
        <f t="shared" si="21"/>
        <v>12</v>
      </c>
      <c r="Y82" s="14">
        <f t="shared" si="22"/>
        <v>21</v>
      </c>
      <c r="Z82" s="14">
        <f t="shared" si="23"/>
        <v>61.666666666666664</v>
      </c>
      <c r="AA82" s="8" t="s">
        <v>229</v>
      </c>
    </row>
    <row r="83" spans="2:32">
      <c r="B83" t="s">
        <v>108</v>
      </c>
      <c r="C83" t="s">
        <v>0</v>
      </c>
      <c r="D83">
        <v>44</v>
      </c>
      <c r="E83">
        <v>6</v>
      </c>
      <c r="G83">
        <f t="shared" si="24"/>
        <v>50</v>
      </c>
      <c r="H83" t="s">
        <v>20</v>
      </c>
      <c r="I83">
        <v>40</v>
      </c>
      <c r="J83">
        <v>17</v>
      </c>
      <c r="K83">
        <v>28</v>
      </c>
      <c r="L83">
        <f t="shared" si="25"/>
        <v>85</v>
      </c>
      <c r="M83" t="s">
        <v>20</v>
      </c>
      <c r="N83">
        <v>22</v>
      </c>
      <c r="O83">
        <v>19</v>
      </c>
      <c r="P83" s="11">
        <v>15</v>
      </c>
      <c r="Q83">
        <f t="shared" si="28"/>
        <v>56</v>
      </c>
      <c r="U83" s="11"/>
      <c r="W83" s="14">
        <f t="shared" si="20"/>
        <v>35.333333333333336</v>
      </c>
      <c r="X83" s="14">
        <f t="shared" si="21"/>
        <v>14</v>
      </c>
      <c r="Y83" s="14">
        <f t="shared" si="22"/>
        <v>21.5</v>
      </c>
      <c r="Z83" s="14">
        <f t="shared" si="23"/>
        <v>63.666666666666664</v>
      </c>
      <c r="AA83" s="8" t="s">
        <v>230</v>
      </c>
      <c r="AF83" s="11"/>
    </row>
    <row r="84" spans="2:32">
      <c r="B84" t="s">
        <v>109</v>
      </c>
      <c r="C84" t="s">
        <v>0</v>
      </c>
      <c r="D84">
        <v>100</v>
      </c>
      <c r="E84">
        <v>17</v>
      </c>
      <c r="G84">
        <f t="shared" si="24"/>
        <v>117</v>
      </c>
      <c r="H84" t="s">
        <v>20</v>
      </c>
      <c r="I84">
        <v>87</v>
      </c>
      <c r="J84">
        <v>17</v>
      </c>
      <c r="K84">
        <v>10</v>
      </c>
      <c r="L84">
        <f t="shared" si="25"/>
        <v>114</v>
      </c>
      <c r="M84" t="s">
        <v>20</v>
      </c>
      <c r="N84">
        <v>78</v>
      </c>
      <c r="O84">
        <v>19</v>
      </c>
      <c r="P84">
        <v>9</v>
      </c>
      <c r="Q84">
        <f>SUM(N84:P84)</f>
        <v>106</v>
      </c>
      <c r="U84" s="11"/>
      <c r="W84" s="14">
        <f t="shared" si="20"/>
        <v>88.333333333333329</v>
      </c>
      <c r="X84" s="14">
        <f t="shared" si="21"/>
        <v>17.666666666666668</v>
      </c>
      <c r="Y84" s="14">
        <f t="shared" si="22"/>
        <v>9.5</v>
      </c>
      <c r="Z84" s="14">
        <f t="shared" si="23"/>
        <v>112.33333333333333</v>
      </c>
      <c r="AA84" s="8" t="s">
        <v>231</v>
      </c>
      <c r="AF84" s="11"/>
    </row>
    <row r="85" spans="2:32">
      <c r="B85" t="s">
        <v>110</v>
      </c>
      <c r="C85" t="s">
        <v>0</v>
      </c>
      <c r="D85">
        <v>85</v>
      </c>
      <c r="E85">
        <v>1</v>
      </c>
      <c r="G85">
        <f t="shared" si="24"/>
        <v>86</v>
      </c>
      <c r="P85" s="11"/>
      <c r="Q85" s="12"/>
      <c r="U85" s="11"/>
      <c r="W85" s="14">
        <f t="shared" si="20"/>
        <v>85</v>
      </c>
      <c r="X85" s="14">
        <f t="shared" si="21"/>
        <v>1</v>
      </c>
      <c r="Y85" s="14" t="e">
        <f t="shared" si="22"/>
        <v>#DIV/0!</v>
      </c>
      <c r="Z85" s="14">
        <f t="shared" si="23"/>
        <v>86</v>
      </c>
      <c r="AA85" s="8" t="s">
        <v>232</v>
      </c>
      <c r="AF85" s="11"/>
    </row>
    <row r="86" spans="2:32">
      <c r="B86" t="s">
        <v>111</v>
      </c>
      <c r="C86" t="s">
        <v>0</v>
      </c>
      <c r="D86">
        <v>83</v>
      </c>
      <c r="G86">
        <f t="shared" si="24"/>
        <v>83</v>
      </c>
      <c r="P86" s="11"/>
      <c r="Q86" s="12"/>
      <c r="W86" s="14">
        <f t="shared" si="20"/>
        <v>83</v>
      </c>
      <c r="X86" s="14" t="e">
        <f t="shared" si="21"/>
        <v>#DIV/0!</v>
      </c>
      <c r="Y86" s="14" t="e">
        <f t="shared" si="22"/>
        <v>#DIV/0!</v>
      </c>
      <c r="Z86" s="14">
        <f t="shared" si="23"/>
        <v>83</v>
      </c>
      <c r="AA86" s="8" t="s">
        <v>233</v>
      </c>
      <c r="AF86" s="11"/>
    </row>
    <row r="87" spans="2:32">
      <c r="B87" t="s">
        <v>112</v>
      </c>
      <c r="C87" t="s">
        <v>0</v>
      </c>
      <c r="D87">
        <v>5</v>
      </c>
      <c r="E87">
        <v>2</v>
      </c>
      <c r="G87">
        <f t="shared" si="24"/>
        <v>7</v>
      </c>
      <c r="P87" s="11"/>
      <c r="Q87" s="12"/>
      <c r="U87" s="11"/>
      <c r="W87" s="14">
        <f t="shared" si="20"/>
        <v>5</v>
      </c>
      <c r="X87" s="14">
        <f t="shared" si="21"/>
        <v>2</v>
      </c>
      <c r="Y87" s="14" t="e">
        <f t="shared" si="22"/>
        <v>#DIV/0!</v>
      </c>
      <c r="Z87" s="14">
        <f t="shared" si="23"/>
        <v>7</v>
      </c>
      <c r="AA87" s="8" t="s">
        <v>234</v>
      </c>
    </row>
    <row r="88" spans="2:32">
      <c r="B88" t="s">
        <v>113</v>
      </c>
      <c r="C88" t="s">
        <v>0</v>
      </c>
      <c r="D88">
        <v>13</v>
      </c>
      <c r="E88">
        <v>2</v>
      </c>
      <c r="G88">
        <f t="shared" si="24"/>
        <v>15</v>
      </c>
      <c r="P88" s="11"/>
      <c r="Q88" s="12"/>
      <c r="U88" s="11"/>
      <c r="W88" s="14">
        <f t="shared" si="20"/>
        <v>13</v>
      </c>
      <c r="X88" s="14">
        <f t="shared" si="21"/>
        <v>2</v>
      </c>
      <c r="Y88" s="14" t="e">
        <f t="shared" si="22"/>
        <v>#DIV/0!</v>
      </c>
      <c r="Z88" s="14">
        <f t="shared" si="23"/>
        <v>15</v>
      </c>
      <c r="AA88" s="8" t="s">
        <v>235</v>
      </c>
    </row>
    <row r="89" spans="2:32" ht="15.95">
      <c r="B89" t="s">
        <v>114</v>
      </c>
      <c r="C89" t="s">
        <v>0</v>
      </c>
      <c r="D89">
        <v>9</v>
      </c>
      <c r="E89">
        <v>1</v>
      </c>
      <c r="G89">
        <f t="shared" si="24"/>
        <v>10</v>
      </c>
      <c r="H89" t="s">
        <v>13</v>
      </c>
      <c r="I89">
        <v>21</v>
      </c>
      <c r="J89">
        <v>3</v>
      </c>
      <c r="L89" s="5">
        <f>J89+I89</f>
        <v>24</v>
      </c>
      <c r="U89" s="11"/>
      <c r="W89" s="14">
        <f t="shared" si="20"/>
        <v>15</v>
      </c>
      <c r="X89" s="14">
        <f t="shared" si="21"/>
        <v>2</v>
      </c>
      <c r="Y89" s="14" t="e">
        <f t="shared" si="22"/>
        <v>#DIV/0!</v>
      </c>
      <c r="Z89" s="14">
        <f t="shared" si="23"/>
        <v>17</v>
      </c>
      <c r="AA89" s="8" t="s">
        <v>236</v>
      </c>
    </row>
    <row r="90" spans="2:32" ht="15.95">
      <c r="B90" t="s">
        <v>115</v>
      </c>
      <c r="C90" t="s">
        <v>0</v>
      </c>
      <c r="D90">
        <v>20</v>
      </c>
      <c r="E90">
        <v>1</v>
      </c>
      <c r="G90">
        <f t="shared" si="24"/>
        <v>21</v>
      </c>
      <c r="H90" t="s">
        <v>13</v>
      </c>
      <c r="I90" s="5">
        <v>6</v>
      </c>
      <c r="J90">
        <v>5</v>
      </c>
      <c r="L90" s="5">
        <f t="shared" ref="L90:L92" si="29">J90+I90</f>
        <v>11</v>
      </c>
      <c r="P90" s="11"/>
      <c r="U90" s="11"/>
      <c r="W90" s="14">
        <f t="shared" si="20"/>
        <v>13</v>
      </c>
      <c r="X90" s="14">
        <f t="shared" si="21"/>
        <v>3</v>
      </c>
      <c r="Y90" s="14" t="e">
        <f t="shared" si="22"/>
        <v>#DIV/0!</v>
      </c>
      <c r="Z90" s="14">
        <f t="shared" si="23"/>
        <v>16</v>
      </c>
      <c r="AA90" s="8" t="s">
        <v>237</v>
      </c>
    </row>
    <row r="91" spans="2:32" ht="15.95">
      <c r="B91" t="s">
        <v>116</v>
      </c>
      <c r="C91" t="s">
        <v>0</v>
      </c>
      <c r="D91">
        <v>42</v>
      </c>
      <c r="E91">
        <v>1</v>
      </c>
      <c r="G91">
        <f t="shared" si="24"/>
        <v>43</v>
      </c>
      <c r="H91" t="s">
        <v>13</v>
      </c>
      <c r="I91" s="5">
        <v>32</v>
      </c>
      <c r="J91">
        <v>16</v>
      </c>
      <c r="L91" s="5">
        <f t="shared" si="29"/>
        <v>48</v>
      </c>
      <c r="M91" t="s">
        <v>13</v>
      </c>
      <c r="N91">
        <v>35</v>
      </c>
      <c r="O91">
        <v>20</v>
      </c>
      <c r="P91" s="11">
        <v>20</v>
      </c>
      <c r="Q91">
        <f t="shared" ref="Q91" si="30">SUM(N91:P91)</f>
        <v>75</v>
      </c>
      <c r="W91" s="14">
        <f t="shared" si="20"/>
        <v>36.333333333333336</v>
      </c>
      <c r="X91" s="14">
        <f t="shared" si="21"/>
        <v>12.333333333333334</v>
      </c>
      <c r="Y91" s="14">
        <f t="shared" si="22"/>
        <v>20</v>
      </c>
      <c r="Z91" s="14">
        <f t="shared" si="23"/>
        <v>55.333333333333336</v>
      </c>
      <c r="AA91" s="8" t="s">
        <v>238</v>
      </c>
    </row>
    <row r="92" spans="2:32" ht="15.95">
      <c r="B92" s="2" t="s">
        <v>117</v>
      </c>
      <c r="C92" t="s">
        <v>0</v>
      </c>
      <c r="H92" t="s">
        <v>13</v>
      </c>
      <c r="I92">
        <v>39</v>
      </c>
      <c r="J92">
        <v>21</v>
      </c>
      <c r="L92" s="5">
        <f t="shared" si="29"/>
        <v>60</v>
      </c>
      <c r="U92" s="11"/>
      <c r="W92" s="14">
        <f t="shared" si="20"/>
        <v>39</v>
      </c>
      <c r="X92" s="14">
        <f t="shared" si="21"/>
        <v>21</v>
      </c>
      <c r="Y92" s="14" t="e">
        <f t="shared" si="22"/>
        <v>#DIV/0!</v>
      </c>
      <c r="Z92" s="14">
        <f t="shared" si="23"/>
        <v>60</v>
      </c>
      <c r="AA92" s="8" t="s">
        <v>239</v>
      </c>
    </row>
    <row r="93" spans="2:32">
      <c r="B93" t="s">
        <v>118</v>
      </c>
      <c r="C93" t="s">
        <v>0</v>
      </c>
      <c r="D93">
        <v>38</v>
      </c>
      <c r="E93">
        <v>9</v>
      </c>
      <c r="F93">
        <v>11</v>
      </c>
      <c r="G93">
        <f>D93+E93+F93</f>
        <v>58</v>
      </c>
      <c r="H93" t="s">
        <v>13</v>
      </c>
      <c r="I93">
        <v>41</v>
      </c>
      <c r="J93">
        <v>6</v>
      </c>
      <c r="K93">
        <v>20</v>
      </c>
      <c r="L93">
        <f>I93+J93+K93</f>
        <v>67</v>
      </c>
      <c r="U93" s="11"/>
      <c r="W93" s="14">
        <f t="shared" si="20"/>
        <v>39.5</v>
      </c>
      <c r="X93" s="14">
        <f t="shared" si="21"/>
        <v>7.5</v>
      </c>
      <c r="Y93" s="14">
        <f t="shared" si="22"/>
        <v>15.5</v>
      </c>
      <c r="Z93" s="14">
        <f t="shared" si="23"/>
        <v>62.5</v>
      </c>
      <c r="AA93" s="8" t="s">
        <v>240</v>
      </c>
    </row>
    <row r="94" spans="2:32">
      <c r="B94" t="s">
        <v>119</v>
      </c>
      <c r="C94" t="s">
        <v>0</v>
      </c>
      <c r="D94">
        <v>33</v>
      </c>
      <c r="E94">
        <v>13</v>
      </c>
      <c r="F94">
        <v>11</v>
      </c>
      <c r="G94">
        <f t="shared" ref="G94:G95" si="31">D94+E94+F94</f>
        <v>57</v>
      </c>
      <c r="H94" t="s">
        <v>13</v>
      </c>
      <c r="I94">
        <v>40</v>
      </c>
      <c r="J94">
        <v>2</v>
      </c>
      <c r="K94">
        <v>10</v>
      </c>
      <c r="L94">
        <f t="shared" ref="L94:L95" si="32">I94+J94+K94</f>
        <v>52</v>
      </c>
      <c r="U94" s="11"/>
      <c r="W94" s="14">
        <f t="shared" si="20"/>
        <v>36.5</v>
      </c>
      <c r="X94" s="14">
        <f t="shared" si="21"/>
        <v>7.5</v>
      </c>
      <c r="Y94" s="14">
        <f t="shared" si="22"/>
        <v>10.5</v>
      </c>
      <c r="Z94" s="14">
        <f t="shared" si="23"/>
        <v>54.5</v>
      </c>
      <c r="AA94" s="8" t="s">
        <v>241</v>
      </c>
    </row>
    <row r="95" spans="2:32" ht="15.95">
      <c r="B95" t="s">
        <v>120</v>
      </c>
      <c r="C95" t="s">
        <v>0</v>
      </c>
      <c r="D95">
        <v>21</v>
      </c>
      <c r="E95">
        <v>12</v>
      </c>
      <c r="F95">
        <v>1</v>
      </c>
      <c r="G95">
        <f t="shared" si="31"/>
        <v>34</v>
      </c>
      <c r="H95" t="s">
        <v>13</v>
      </c>
      <c r="I95" s="5">
        <v>27</v>
      </c>
      <c r="J95">
        <v>3</v>
      </c>
      <c r="K95">
        <v>6</v>
      </c>
      <c r="L95">
        <f t="shared" si="32"/>
        <v>36</v>
      </c>
      <c r="U95" s="11"/>
      <c r="W95" s="14">
        <f t="shared" si="20"/>
        <v>24</v>
      </c>
      <c r="X95" s="14">
        <f t="shared" si="21"/>
        <v>30.103909465020575</v>
      </c>
      <c r="Y95" s="14">
        <f t="shared" si="22"/>
        <v>3.5</v>
      </c>
      <c r="Z95" s="14">
        <f t="shared" si="23"/>
        <v>35</v>
      </c>
      <c r="AA95" s="8" t="s">
        <v>242</v>
      </c>
      <c r="AD95" s="14">
        <f>AVERAGE(Z69:Z95)</f>
        <v>75.311728395061721</v>
      </c>
    </row>
    <row r="96" spans="2:32">
      <c r="W96" s="14"/>
      <c r="X96" s="14"/>
      <c r="Y96" s="14"/>
      <c r="Z96" s="14">
        <f>SUM(Z69:Z95)</f>
        <v>2033.4166666666665</v>
      </c>
      <c r="AD96">
        <f>STDEV(Z69:Z95)/SQRT(COUNT(Z69:Z95))</f>
        <v>7.7831656051165279</v>
      </c>
    </row>
    <row r="97" spans="1:28">
      <c r="U97" s="11"/>
      <c r="W97" s="14"/>
      <c r="X97" s="14"/>
      <c r="Y97" s="14"/>
      <c r="Z97" s="14"/>
    </row>
    <row r="98" spans="1:28">
      <c r="U98" s="11"/>
      <c r="W98" s="14"/>
      <c r="X98" s="14"/>
      <c r="Y98" s="14"/>
      <c r="Z98" s="14"/>
    </row>
    <row r="99" spans="1:28">
      <c r="B99" t="s">
        <v>243</v>
      </c>
      <c r="C99" t="s">
        <v>138</v>
      </c>
      <c r="D99" t="s">
        <v>10</v>
      </c>
      <c r="E99" t="s">
        <v>11</v>
      </c>
      <c r="F99" t="s">
        <v>12</v>
      </c>
      <c r="G99" t="s">
        <v>139</v>
      </c>
      <c r="H99" t="s">
        <v>138</v>
      </c>
      <c r="I99" t="s">
        <v>10</v>
      </c>
      <c r="J99" t="s">
        <v>11</v>
      </c>
      <c r="K99" t="s">
        <v>12</v>
      </c>
      <c r="L99" t="s">
        <v>139</v>
      </c>
      <c r="M99" t="s">
        <v>138</v>
      </c>
      <c r="N99" t="s">
        <v>10</v>
      </c>
      <c r="O99" t="s">
        <v>11</v>
      </c>
      <c r="P99" t="s">
        <v>12</v>
      </c>
      <c r="Q99" t="s">
        <v>139</v>
      </c>
      <c r="R99" t="s">
        <v>138</v>
      </c>
      <c r="S99" t="s">
        <v>10</v>
      </c>
      <c r="T99" t="s">
        <v>11</v>
      </c>
      <c r="U99" t="s">
        <v>12</v>
      </c>
      <c r="V99" t="s">
        <v>139</v>
      </c>
      <c r="W99" s="14" t="s">
        <v>140</v>
      </c>
      <c r="X99" s="14" t="s">
        <v>141</v>
      </c>
      <c r="Y99" s="14" t="s">
        <v>142</v>
      </c>
      <c r="Z99" s="14" t="s">
        <v>215</v>
      </c>
      <c r="AA99" t="s">
        <v>144</v>
      </c>
    </row>
    <row r="100" spans="1:28">
      <c r="B100" t="s">
        <v>121</v>
      </c>
      <c r="C100" t="s">
        <v>0</v>
      </c>
      <c r="D100">
        <v>49</v>
      </c>
      <c r="E100">
        <v>3</v>
      </c>
      <c r="F100">
        <v>3</v>
      </c>
      <c r="G100">
        <f>E100+D100+F100</f>
        <v>55</v>
      </c>
      <c r="H100" t="s">
        <v>13</v>
      </c>
      <c r="I100">
        <v>32</v>
      </c>
      <c r="J100">
        <v>2</v>
      </c>
      <c r="K100">
        <v>3</v>
      </c>
      <c r="L100">
        <f>J100+I100+K100</f>
        <v>37</v>
      </c>
      <c r="U100" s="11"/>
      <c r="W100" s="14">
        <f t="shared" ref="W100:Y107" si="33">AVERAGE(D100,I100,N100,S100,AC100,AH100)</f>
        <v>40.5</v>
      </c>
      <c r="X100" s="14">
        <f t="shared" si="33"/>
        <v>2.5</v>
      </c>
      <c r="Y100" s="14">
        <f t="shared" si="33"/>
        <v>3</v>
      </c>
      <c r="Z100" s="14">
        <f t="shared" ref="Z100:Z106" si="34">AVERAGE(G100,L100,Q100,V100)</f>
        <v>46</v>
      </c>
      <c r="AA100" t="s">
        <v>244</v>
      </c>
      <c r="AB100" s="14"/>
    </row>
    <row r="101" spans="1:28">
      <c r="B101" t="s">
        <v>123</v>
      </c>
      <c r="C101" t="s">
        <v>0</v>
      </c>
      <c r="D101">
        <v>31</v>
      </c>
      <c r="E101">
        <v>5</v>
      </c>
      <c r="F101">
        <v>1</v>
      </c>
      <c r="G101">
        <f t="shared" ref="G101:G113" si="35">E101+D101+F101</f>
        <v>37</v>
      </c>
      <c r="H101" t="s">
        <v>20</v>
      </c>
      <c r="I101">
        <v>36</v>
      </c>
      <c r="J101">
        <v>18</v>
      </c>
      <c r="K101">
        <v>2</v>
      </c>
      <c r="L101">
        <f>J101+I101+K101</f>
        <v>56</v>
      </c>
      <c r="W101" s="14">
        <f t="shared" si="33"/>
        <v>33.5</v>
      </c>
      <c r="X101" s="14">
        <f t="shared" si="33"/>
        <v>11.5</v>
      </c>
      <c r="Y101" s="14">
        <f t="shared" si="33"/>
        <v>1.5</v>
      </c>
      <c r="Z101" s="14">
        <f t="shared" si="34"/>
        <v>46.5</v>
      </c>
      <c r="AA101" t="s">
        <v>245</v>
      </c>
      <c r="AB101" s="14"/>
    </row>
    <row r="102" spans="1:28">
      <c r="B102" t="s">
        <v>124</v>
      </c>
      <c r="C102" t="s">
        <v>0</v>
      </c>
      <c r="D102">
        <v>29</v>
      </c>
      <c r="E102">
        <v>3</v>
      </c>
      <c r="F102">
        <v>1</v>
      </c>
      <c r="G102">
        <f t="shared" si="35"/>
        <v>33</v>
      </c>
      <c r="H102" t="s">
        <v>20</v>
      </c>
      <c r="I102">
        <v>39</v>
      </c>
      <c r="J102">
        <v>17</v>
      </c>
      <c r="K102">
        <v>4</v>
      </c>
      <c r="L102">
        <f>J102+I102+K102</f>
        <v>60</v>
      </c>
      <c r="U102" s="11"/>
      <c r="W102" s="14">
        <f t="shared" si="33"/>
        <v>34</v>
      </c>
      <c r="X102" s="14">
        <f t="shared" si="33"/>
        <v>10</v>
      </c>
      <c r="Y102" s="14">
        <f t="shared" si="33"/>
        <v>2.5</v>
      </c>
      <c r="Z102" s="14">
        <f t="shared" si="34"/>
        <v>46.5</v>
      </c>
      <c r="AA102" t="s">
        <v>246</v>
      </c>
      <c r="AB102" s="14"/>
    </row>
    <row r="103" spans="1:28">
      <c r="B103" t="s">
        <v>126</v>
      </c>
      <c r="C103" t="s">
        <v>0</v>
      </c>
      <c r="D103">
        <v>53</v>
      </c>
      <c r="E103">
        <v>11</v>
      </c>
      <c r="F103">
        <v>4</v>
      </c>
      <c r="G103">
        <f t="shared" si="35"/>
        <v>68</v>
      </c>
      <c r="H103" t="s">
        <v>13</v>
      </c>
      <c r="I103">
        <v>64</v>
      </c>
      <c r="J103">
        <v>11</v>
      </c>
      <c r="K103">
        <v>0</v>
      </c>
      <c r="L103">
        <f t="shared" ref="L103:L107" si="36">J103+I103+K103</f>
        <v>75</v>
      </c>
      <c r="U103" s="11"/>
      <c r="W103" s="14">
        <f t="shared" si="33"/>
        <v>58.5</v>
      </c>
      <c r="X103" s="14">
        <f t="shared" si="33"/>
        <v>11</v>
      </c>
      <c r="Y103" s="14">
        <f t="shared" si="33"/>
        <v>2</v>
      </c>
      <c r="Z103" s="14">
        <f t="shared" si="34"/>
        <v>71.5</v>
      </c>
      <c r="AA103" t="s">
        <v>247</v>
      </c>
      <c r="AB103" s="14"/>
    </row>
    <row r="104" spans="1:28">
      <c r="B104" t="s">
        <v>128</v>
      </c>
      <c r="C104" t="s">
        <v>0</v>
      </c>
      <c r="D104">
        <v>56</v>
      </c>
      <c r="E104">
        <v>4</v>
      </c>
      <c r="F104">
        <v>10</v>
      </c>
      <c r="G104">
        <f t="shared" si="35"/>
        <v>70</v>
      </c>
      <c r="H104" t="s">
        <v>13</v>
      </c>
      <c r="I104">
        <v>87</v>
      </c>
      <c r="J104">
        <v>2</v>
      </c>
      <c r="K104">
        <v>19</v>
      </c>
      <c r="L104">
        <f t="shared" si="36"/>
        <v>108</v>
      </c>
      <c r="U104" s="11"/>
      <c r="W104" s="14">
        <f t="shared" si="33"/>
        <v>71.5</v>
      </c>
      <c r="X104" s="14">
        <f t="shared" si="33"/>
        <v>3</v>
      </c>
      <c r="Y104" s="14">
        <f t="shared" si="33"/>
        <v>14.5</v>
      </c>
      <c r="Z104" s="14">
        <f>AVERAGE(G104,L104,Q104,V104)</f>
        <v>89</v>
      </c>
      <c r="AA104" t="s">
        <v>248</v>
      </c>
      <c r="AB104" s="14"/>
    </row>
    <row r="105" spans="1:28">
      <c r="B105" t="s">
        <v>129</v>
      </c>
      <c r="C105" t="s">
        <v>0</v>
      </c>
      <c r="D105">
        <v>32</v>
      </c>
      <c r="E105">
        <v>3</v>
      </c>
      <c r="F105">
        <v>5</v>
      </c>
      <c r="G105">
        <f t="shared" si="35"/>
        <v>40</v>
      </c>
      <c r="H105" t="s">
        <v>13</v>
      </c>
      <c r="I105">
        <v>29</v>
      </c>
      <c r="J105">
        <v>0</v>
      </c>
      <c r="K105">
        <v>6</v>
      </c>
      <c r="L105">
        <f t="shared" si="36"/>
        <v>35</v>
      </c>
      <c r="U105" s="11"/>
      <c r="W105" s="14">
        <f t="shared" si="33"/>
        <v>30.5</v>
      </c>
      <c r="X105" s="14">
        <f t="shared" si="33"/>
        <v>1.5</v>
      </c>
      <c r="Y105" s="14">
        <f t="shared" si="33"/>
        <v>5.5</v>
      </c>
      <c r="Z105" s="14">
        <f t="shared" si="34"/>
        <v>37.5</v>
      </c>
      <c r="AA105" t="s">
        <v>249</v>
      </c>
      <c r="AB105" s="14"/>
    </row>
    <row r="106" spans="1:28">
      <c r="B106" t="s">
        <v>131</v>
      </c>
      <c r="C106" t="s">
        <v>0</v>
      </c>
      <c r="D106">
        <v>66</v>
      </c>
      <c r="E106">
        <v>16</v>
      </c>
      <c r="F106">
        <v>6</v>
      </c>
      <c r="G106">
        <f t="shared" si="35"/>
        <v>88</v>
      </c>
      <c r="H106" t="s">
        <v>13</v>
      </c>
      <c r="I106">
        <v>80</v>
      </c>
      <c r="J106">
        <v>3</v>
      </c>
      <c r="K106">
        <v>5</v>
      </c>
      <c r="L106">
        <f t="shared" si="36"/>
        <v>88</v>
      </c>
      <c r="W106" s="14">
        <f t="shared" si="33"/>
        <v>73</v>
      </c>
      <c r="X106" s="14">
        <f t="shared" si="33"/>
        <v>9.5</v>
      </c>
      <c r="Y106" s="14">
        <f t="shared" si="33"/>
        <v>5.5</v>
      </c>
      <c r="Z106" s="14">
        <f t="shared" si="34"/>
        <v>88</v>
      </c>
      <c r="AA106" t="s">
        <v>250</v>
      </c>
      <c r="AB106" s="14"/>
    </row>
    <row r="107" spans="1:28">
      <c r="B107" t="s">
        <v>132</v>
      </c>
      <c r="C107" t="s">
        <v>0</v>
      </c>
      <c r="D107">
        <v>26</v>
      </c>
      <c r="E107">
        <v>5</v>
      </c>
      <c r="F107">
        <v>2</v>
      </c>
      <c r="G107">
        <f t="shared" si="35"/>
        <v>33</v>
      </c>
      <c r="H107" t="s">
        <v>13</v>
      </c>
      <c r="I107">
        <v>25</v>
      </c>
      <c r="J107">
        <v>6</v>
      </c>
      <c r="K107">
        <v>7</v>
      </c>
      <c r="L107">
        <f t="shared" si="36"/>
        <v>38</v>
      </c>
      <c r="W107" s="14">
        <f>AVERAGE(D107,I107,N107,S107,AC107,AH107)</f>
        <v>25.5</v>
      </c>
      <c r="X107" s="14">
        <f t="shared" si="33"/>
        <v>5.5</v>
      </c>
      <c r="Y107" s="14">
        <f t="shared" si="33"/>
        <v>4.5</v>
      </c>
      <c r="Z107" s="14">
        <f>AVERAGE(G107,L107,Q107,V107)</f>
        <v>35.5</v>
      </c>
      <c r="AA107" t="s">
        <v>251</v>
      </c>
      <c r="AB107" s="14"/>
    </row>
    <row r="108" spans="1:28">
      <c r="A108" t="s">
        <v>252</v>
      </c>
      <c r="B108" t="s">
        <v>125</v>
      </c>
      <c r="C108" t="s">
        <v>20</v>
      </c>
      <c r="D108">
        <v>19</v>
      </c>
      <c r="E108">
        <v>18</v>
      </c>
      <c r="F108">
        <v>15</v>
      </c>
      <c r="G108">
        <f t="shared" si="35"/>
        <v>52</v>
      </c>
      <c r="W108" s="14">
        <f t="shared" ref="W108:W113" si="37">AVERAGE(D108,I108,N108,S108,AC108,AH108)</f>
        <v>19</v>
      </c>
      <c r="X108" s="14">
        <f t="shared" ref="X108:X113" si="38">AVERAGE(E108,J108,O108,T108,AD108,AI108)</f>
        <v>18</v>
      </c>
      <c r="Y108" s="14">
        <f t="shared" ref="Y108:Y113" si="39">AVERAGE(F108,K108,P108,U108,AE108,AJ108)</f>
        <v>15</v>
      </c>
      <c r="Z108" s="14">
        <f t="shared" ref="Z108:Z113" si="40">AVERAGE(G108,L108,Q108,V108)</f>
        <v>52</v>
      </c>
      <c r="AA108" t="str">
        <f>"LRS "&amp;B108</f>
        <v>LRS IC2-1</v>
      </c>
    </row>
    <row r="109" spans="1:28">
      <c r="A109" t="s">
        <v>252</v>
      </c>
      <c r="B109" t="s">
        <v>127</v>
      </c>
      <c r="C109" t="s">
        <v>20</v>
      </c>
      <c r="D109">
        <v>29</v>
      </c>
      <c r="E109">
        <v>49</v>
      </c>
      <c r="F109">
        <v>10</v>
      </c>
      <c r="G109">
        <f t="shared" si="35"/>
        <v>88</v>
      </c>
      <c r="H109" t="s">
        <v>20</v>
      </c>
      <c r="I109">
        <v>23</v>
      </c>
      <c r="J109">
        <v>36</v>
      </c>
      <c r="K109">
        <v>9</v>
      </c>
      <c r="L109">
        <f t="shared" ref="L109" si="41">J109+I109+K109</f>
        <v>68</v>
      </c>
      <c r="W109" s="14">
        <f t="shared" si="37"/>
        <v>26</v>
      </c>
      <c r="X109" s="14">
        <f t="shared" si="38"/>
        <v>42.5</v>
      </c>
      <c r="Y109" s="14">
        <f t="shared" si="39"/>
        <v>9.5</v>
      </c>
      <c r="Z109" s="14">
        <f t="shared" si="40"/>
        <v>78</v>
      </c>
      <c r="AA109" t="str">
        <f t="shared" ref="AA109:AA113" si="42">"LRS "&amp;B109</f>
        <v>LRS IC2-2</v>
      </c>
    </row>
    <row r="110" spans="1:28">
      <c r="A110" t="s">
        <v>252</v>
      </c>
      <c r="B110" t="s">
        <v>130</v>
      </c>
      <c r="C110" t="s">
        <v>20</v>
      </c>
      <c r="D110">
        <v>44</v>
      </c>
      <c r="E110">
        <v>39</v>
      </c>
      <c r="F110">
        <v>10</v>
      </c>
      <c r="G110">
        <f t="shared" si="35"/>
        <v>93</v>
      </c>
      <c r="W110" s="14">
        <f t="shared" si="37"/>
        <v>44</v>
      </c>
      <c r="X110" s="14">
        <f t="shared" si="38"/>
        <v>39</v>
      </c>
      <c r="Y110" s="14">
        <f t="shared" si="39"/>
        <v>10</v>
      </c>
      <c r="Z110" s="14">
        <f t="shared" si="40"/>
        <v>93</v>
      </c>
      <c r="AA110" t="str">
        <f t="shared" si="42"/>
        <v>LRS IC2-3</v>
      </c>
    </row>
    <row r="111" spans="1:28">
      <c r="A111" t="s">
        <v>252</v>
      </c>
      <c r="B111" t="s">
        <v>133</v>
      </c>
      <c r="C111" t="s">
        <v>20</v>
      </c>
      <c r="D111">
        <v>16</v>
      </c>
      <c r="E111">
        <v>20</v>
      </c>
      <c r="F111">
        <v>6</v>
      </c>
      <c r="G111">
        <f t="shared" si="35"/>
        <v>42</v>
      </c>
      <c r="W111" s="14">
        <f t="shared" si="37"/>
        <v>16</v>
      </c>
      <c r="X111" s="14">
        <f t="shared" si="38"/>
        <v>20</v>
      </c>
      <c r="Y111" s="14">
        <f t="shared" si="39"/>
        <v>6</v>
      </c>
      <c r="Z111" s="14">
        <f t="shared" si="40"/>
        <v>42</v>
      </c>
      <c r="AA111" t="str">
        <f t="shared" si="42"/>
        <v>LRS IC3-1</v>
      </c>
    </row>
    <row r="112" spans="1:28">
      <c r="A112" t="s">
        <v>252</v>
      </c>
      <c r="B112" t="s">
        <v>134</v>
      </c>
      <c r="C112" t="s">
        <v>20</v>
      </c>
      <c r="D112">
        <v>52</v>
      </c>
      <c r="E112">
        <v>20</v>
      </c>
      <c r="F112">
        <v>8</v>
      </c>
      <c r="G112">
        <f t="shared" si="35"/>
        <v>80</v>
      </c>
      <c r="W112" s="14">
        <f t="shared" si="37"/>
        <v>52</v>
      </c>
      <c r="X112" s="14">
        <f t="shared" si="38"/>
        <v>20</v>
      </c>
      <c r="Y112" s="14">
        <f t="shared" si="39"/>
        <v>8</v>
      </c>
      <c r="Z112" s="14">
        <f t="shared" si="40"/>
        <v>80</v>
      </c>
      <c r="AA112" t="str">
        <f t="shared" si="42"/>
        <v>LRS IC3-1.5</v>
      </c>
    </row>
    <row r="113" spans="1:27">
      <c r="A113" t="s">
        <v>252</v>
      </c>
      <c r="B113" t="s">
        <v>135</v>
      </c>
      <c r="C113" t="s">
        <v>20</v>
      </c>
      <c r="D113">
        <v>31</v>
      </c>
      <c r="E113">
        <v>13</v>
      </c>
      <c r="F113">
        <v>7</v>
      </c>
      <c r="G113">
        <f t="shared" si="35"/>
        <v>51</v>
      </c>
      <c r="W113" s="14">
        <f t="shared" si="37"/>
        <v>31</v>
      </c>
      <c r="X113" s="14">
        <f t="shared" si="38"/>
        <v>13</v>
      </c>
      <c r="Y113" s="14">
        <f t="shared" si="39"/>
        <v>7</v>
      </c>
      <c r="Z113" s="14">
        <f t="shared" si="40"/>
        <v>51</v>
      </c>
      <c r="AA113" t="str">
        <f t="shared" si="42"/>
        <v>LRS IC3-2</v>
      </c>
    </row>
    <row r="114" spans="1:27">
      <c r="Z114" s="14">
        <f>SUM(Z100:Z113)</f>
        <v>856.5</v>
      </c>
    </row>
    <row r="117" spans="1:27">
      <c r="B117" t="s">
        <v>253</v>
      </c>
      <c r="C117" t="s">
        <v>138</v>
      </c>
      <c r="D117" t="s">
        <v>10</v>
      </c>
      <c r="E117" t="s">
        <v>11</v>
      </c>
      <c r="F117" t="s">
        <v>12</v>
      </c>
      <c r="G117" t="s">
        <v>139</v>
      </c>
      <c r="H117" t="s">
        <v>138</v>
      </c>
      <c r="I117" t="s">
        <v>10</v>
      </c>
      <c r="J117" t="s">
        <v>11</v>
      </c>
      <c r="K117" t="s">
        <v>12</v>
      </c>
      <c r="L117" t="s">
        <v>139</v>
      </c>
      <c r="M117" t="s">
        <v>138</v>
      </c>
      <c r="N117" t="s">
        <v>10</v>
      </c>
      <c r="O117" t="s">
        <v>11</v>
      </c>
      <c r="P117" t="s">
        <v>12</v>
      </c>
      <c r="Q117" t="s">
        <v>139</v>
      </c>
      <c r="R117" t="s">
        <v>138</v>
      </c>
      <c r="S117" t="s">
        <v>10</v>
      </c>
      <c r="T117" t="s">
        <v>11</v>
      </c>
      <c r="U117" t="s">
        <v>12</v>
      </c>
      <c r="V117" t="s">
        <v>139</v>
      </c>
      <c r="W117" s="14" t="s">
        <v>140</v>
      </c>
      <c r="X117" s="14" t="s">
        <v>141</v>
      </c>
      <c r="Y117" s="14" t="s">
        <v>142</v>
      </c>
      <c r="Z117" s="14" t="s">
        <v>215</v>
      </c>
      <c r="AA117" t="s">
        <v>144</v>
      </c>
    </row>
    <row r="118" spans="1:27">
      <c r="A118" s="4">
        <v>45437</v>
      </c>
      <c r="B118" t="s">
        <v>254</v>
      </c>
      <c r="C118" t="s">
        <v>0</v>
      </c>
      <c r="D118">
        <v>16</v>
      </c>
      <c r="E118">
        <v>0</v>
      </c>
      <c r="F118">
        <v>0</v>
      </c>
      <c r="G118">
        <f>E118+D118+F118</f>
        <v>16</v>
      </c>
      <c r="H118" t="s">
        <v>13</v>
      </c>
      <c r="I118">
        <v>18</v>
      </c>
      <c r="J118">
        <v>2</v>
      </c>
      <c r="K118">
        <v>0</v>
      </c>
      <c r="L118">
        <f>J118+I118+K118</f>
        <v>20</v>
      </c>
      <c r="W118" s="14">
        <f>AVERAGE(D118,I118,N118,S118,AC118,AH118)</f>
        <v>17</v>
      </c>
      <c r="X118" s="14">
        <f>AVERAGE(E118,J118,O118,T118)</f>
        <v>1</v>
      </c>
      <c r="Y118" s="14">
        <f>AVERAGE(F118,K118,P118,U118,AE118,AJ113)</f>
        <v>0</v>
      </c>
      <c r="Z118" s="14">
        <f>AVERAGE(G118,L118,Q118,V118)</f>
        <v>18</v>
      </c>
    </row>
    <row r="119" spans="1:27">
      <c r="B119" t="s">
        <v>19</v>
      </c>
      <c r="C119" t="s">
        <v>20</v>
      </c>
      <c r="D119">
        <v>15</v>
      </c>
      <c r="E119">
        <v>2</v>
      </c>
      <c r="F119">
        <v>0</v>
      </c>
      <c r="G119">
        <f t="shared" ref="G119:G124" si="43">E119+D119+F119</f>
        <v>17</v>
      </c>
      <c r="W119" s="14">
        <f t="shared" ref="W119:W124" si="44">AVERAGE(D119,I119,N119,S119,AC119,AH119)</f>
        <v>15</v>
      </c>
      <c r="X119" s="14">
        <f t="shared" ref="X119:X125" si="45">AVERAGE(E119,J119,O119,T119)</f>
        <v>2</v>
      </c>
      <c r="Y119" s="14" t="e">
        <f>AVERAGE(F119,K119,P119,U119,AE119,#REF!)</f>
        <v>#REF!</v>
      </c>
      <c r="Z119" s="14">
        <f>AVERAGE(G119,L119,Q119,V119)</f>
        <v>17</v>
      </c>
    </row>
    <row r="120" spans="1:27">
      <c r="B120" t="s">
        <v>255</v>
      </c>
      <c r="C120" t="s">
        <v>20</v>
      </c>
      <c r="D120">
        <v>8</v>
      </c>
      <c r="E120">
        <v>3</v>
      </c>
      <c r="G120">
        <f t="shared" si="43"/>
        <v>11</v>
      </c>
      <c r="W120" s="14">
        <f t="shared" si="44"/>
        <v>8</v>
      </c>
      <c r="X120" s="14">
        <f t="shared" si="45"/>
        <v>3</v>
      </c>
      <c r="Y120" s="14" t="e">
        <f>AVERAGE(F120,K120,P120,U120,AE120,#REF!)</f>
        <v>#REF!</v>
      </c>
      <c r="Z120" s="14">
        <f t="shared" ref="Z120:Z125" si="46">AVERAGE(G120,L120,Q120,V120)</f>
        <v>11</v>
      </c>
    </row>
    <row r="121" spans="1:27">
      <c r="B121" t="s">
        <v>256</v>
      </c>
      <c r="C121" t="s">
        <v>20</v>
      </c>
      <c r="D121">
        <v>4</v>
      </c>
      <c r="E121">
        <v>9</v>
      </c>
      <c r="G121">
        <f t="shared" si="43"/>
        <v>13</v>
      </c>
      <c r="W121" s="14">
        <f t="shared" si="44"/>
        <v>4</v>
      </c>
      <c r="X121" s="14">
        <f t="shared" si="45"/>
        <v>9</v>
      </c>
      <c r="Y121" s="14" t="e">
        <f>AVERAGE(F121,K121,P121,U121,AE121,#REF!)</f>
        <v>#REF!</v>
      </c>
      <c r="Z121" s="14">
        <f t="shared" si="46"/>
        <v>13</v>
      </c>
    </row>
    <row r="122" spans="1:27">
      <c r="A122" s="4">
        <v>45839</v>
      </c>
      <c r="B122" t="s">
        <v>257</v>
      </c>
      <c r="C122" t="s">
        <v>20</v>
      </c>
      <c r="D122">
        <v>9</v>
      </c>
      <c r="E122">
        <v>11</v>
      </c>
      <c r="F122">
        <v>1</v>
      </c>
      <c r="G122">
        <f>E122+D122+F122</f>
        <v>21</v>
      </c>
      <c r="W122" s="14">
        <f t="shared" si="44"/>
        <v>9</v>
      </c>
      <c r="X122" s="14">
        <f t="shared" si="45"/>
        <v>11</v>
      </c>
      <c r="Y122" s="14">
        <f t="shared" ref="Y122:Y125" si="47">AVERAGE(F122,K122,P122,U122,AE122,AJ119)</f>
        <v>1</v>
      </c>
      <c r="Z122" s="14">
        <f t="shared" si="46"/>
        <v>21</v>
      </c>
    </row>
    <row r="123" spans="1:27">
      <c r="A123" s="4"/>
      <c r="B123" t="s">
        <v>258</v>
      </c>
      <c r="C123" t="s">
        <v>20</v>
      </c>
      <c r="D123">
        <v>6</v>
      </c>
      <c r="E123">
        <v>14</v>
      </c>
      <c r="G123">
        <f>E123+D123+F123</f>
        <v>20</v>
      </c>
      <c r="W123" s="14">
        <f t="shared" si="44"/>
        <v>6</v>
      </c>
      <c r="X123" s="14">
        <f t="shared" si="45"/>
        <v>14</v>
      </c>
      <c r="Y123" s="14" t="e">
        <f t="shared" si="47"/>
        <v>#DIV/0!</v>
      </c>
      <c r="Z123" s="14">
        <f t="shared" si="46"/>
        <v>20</v>
      </c>
    </row>
    <row r="124" spans="1:27">
      <c r="A124" s="4"/>
      <c r="B124" t="s">
        <v>22</v>
      </c>
      <c r="C124" t="s">
        <v>20</v>
      </c>
      <c r="D124">
        <v>3</v>
      </c>
      <c r="E124">
        <v>24</v>
      </c>
      <c r="G124">
        <f t="shared" si="43"/>
        <v>27</v>
      </c>
      <c r="W124" s="14">
        <f t="shared" si="44"/>
        <v>3</v>
      </c>
      <c r="X124" s="14">
        <f t="shared" si="45"/>
        <v>24</v>
      </c>
      <c r="Y124" s="14" t="e">
        <f t="shared" si="47"/>
        <v>#DIV/0!</v>
      </c>
      <c r="Z124" s="14">
        <f t="shared" si="46"/>
        <v>27</v>
      </c>
    </row>
    <row r="125" spans="1:27">
      <c r="A125" s="4"/>
      <c r="B125" t="s">
        <v>259</v>
      </c>
      <c r="C125" t="s">
        <v>20</v>
      </c>
      <c r="D125">
        <v>5</v>
      </c>
      <c r="E125">
        <v>2</v>
      </c>
      <c r="F125">
        <v>1</v>
      </c>
      <c r="G125">
        <f>E125+D125+F125</f>
        <v>8</v>
      </c>
      <c r="W125" s="14">
        <f>AVERAGE(D125,I125,N125,S125,AC125,AH125)</f>
        <v>5</v>
      </c>
      <c r="X125" s="14">
        <f t="shared" si="45"/>
        <v>2</v>
      </c>
      <c r="Y125" s="14">
        <f t="shared" si="47"/>
        <v>1</v>
      </c>
      <c r="Z125" s="14">
        <f t="shared" si="46"/>
        <v>8</v>
      </c>
    </row>
    <row r="127" spans="1:27">
      <c r="Z127" s="14">
        <f>AVERAGE(Z118, Z119:Z125)</f>
        <v>16.875</v>
      </c>
    </row>
    <row r="128" spans="1:27">
      <c r="Z128" s="14">
        <f>STDEV(Z118,Z119:Z125)</f>
        <v>6.0812945050493035</v>
      </c>
    </row>
    <row r="129" spans="26:26">
      <c r="Z129">
        <f>STDEV(Z118:Z125)/SQRT(COUNT(Z118:Z125))</f>
        <v>2.1500622914564258</v>
      </c>
    </row>
  </sheetData>
  <phoneticPr fontId="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CADB-6E8F-D244-975B-508E2051BEDD}">
  <dimension ref="A2:G110"/>
  <sheetViews>
    <sheetView topLeftCell="A67" workbookViewId="0">
      <selection activeCell="G78" sqref="G78"/>
    </sheetView>
  </sheetViews>
  <sheetFormatPr defaultColWidth="11.42578125" defaultRowHeight="15"/>
  <sheetData>
    <row r="2" spans="1:5">
      <c r="A2" t="s">
        <v>140</v>
      </c>
      <c r="B2" t="s">
        <v>141</v>
      </c>
      <c r="C2" t="s">
        <v>142</v>
      </c>
      <c r="D2" t="s">
        <v>143</v>
      </c>
      <c r="E2" t="s">
        <v>144</v>
      </c>
    </row>
    <row r="3" spans="1:5">
      <c r="A3" s="14">
        <v>24.5</v>
      </c>
      <c r="B3" s="14">
        <v>7</v>
      </c>
      <c r="C3" s="14" t="e">
        <v>#DIV/0!</v>
      </c>
      <c r="D3" s="14">
        <v>35</v>
      </c>
      <c r="E3" s="6" t="s">
        <v>145</v>
      </c>
    </row>
    <row r="4" spans="1:5">
      <c r="A4" s="14">
        <v>32.5</v>
      </c>
      <c r="B4" s="14">
        <v>5</v>
      </c>
      <c r="C4" s="14" t="e">
        <v>#DIV/0!</v>
      </c>
      <c r="D4" s="14">
        <v>40.333333333333336</v>
      </c>
      <c r="E4" s="6" t="s">
        <v>147</v>
      </c>
    </row>
    <row r="5" spans="1:5">
      <c r="A5" s="14">
        <v>25</v>
      </c>
      <c r="B5" s="14">
        <v>7</v>
      </c>
      <c r="C5" s="14" t="e">
        <v>#DIV/0!</v>
      </c>
      <c r="D5" s="14">
        <v>24</v>
      </c>
      <c r="E5" s="6" t="s">
        <v>149</v>
      </c>
    </row>
    <row r="6" spans="1:5">
      <c r="A6" s="14">
        <v>14</v>
      </c>
      <c r="B6" s="14">
        <v>3</v>
      </c>
      <c r="C6" s="14" t="e">
        <v>#DIV/0!</v>
      </c>
      <c r="D6" s="14">
        <v>13.5</v>
      </c>
      <c r="E6" s="6" t="s">
        <v>150</v>
      </c>
    </row>
    <row r="7" spans="1:5">
      <c r="A7" s="14">
        <v>22.333333333333332</v>
      </c>
      <c r="B7" s="14">
        <v>2.6666666666666665</v>
      </c>
      <c r="C7" s="14" t="e">
        <v>#DIV/0!</v>
      </c>
      <c r="D7" s="14">
        <v>25</v>
      </c>
      <c r="E7" s="6" t="s">
        <v>152</v>
      </c>
    </row>
    <row r="8" spans="1:5">
      <c r="A8" s="14">
        <v>22.5</v>
      </c>
      <c r="B8" s="14">
        <v>2</v>
      </c>
      <c r="C8" s="14" t="e">
        <v>#DIV/0!</v>
      </c>
      <c r="D8" s="14">
        <v>24.5</v>
      </c>
      <c r="E8" s="6" t="s">
        <v>154</v>
      </c>
    </row>
    <row r="9" spans="1:5">
      <c r="A9" s="14">
        <v>8</v>
      </c>
      <c r="B9" s="14">
        <v>5</v>
      </c>
      <c r="C9" s="14" t="e">
        <v>#DIV/0!</v>
      </c>
      <c r="D9" s="14">
        <v>14.5</v>
      </c>
      <c r="E9" s="6" t="s">
        <v>155</v>
      </c>
    </row>
    <row r="10" spans="1:5">
      <c r="A10" s="14">
        <v>17</v>
      </c>
      <c r="B10" s="14">
        <v>6</v>
      </c>
      <c r="C10" s="14" t="e">
        <v>#DIV/0!</v>
      </c>
      <c r="D10" s="14">
        <v>20</v>
      </c>
      <c r="E10" s="6" t="s">
        <v>157</v>
      </c>
    </row>
    <row r="11" spans="1:5">
      <c r="A11" s="14">
        <v>19</v>
      </c>
      <c r="B11" s="14">
        <v>3</v>
      </c>
      <c r="C11" s="14" t="e">
        <v>#DIV/0!</v>
      </c>
      <c r="D11" s="14">
        <v>19</v>
      </c>
      <c r="E11" s="6" t="s">
        <v>159</v>
      </c>
    </row>
    <row r="12" spans="1:5">
      <c r="A12" s="14">
        <v>22</v>
      </c>
      <c r="B12" s="14">
        <v>3</v>
      </c>
      <c r="C12" s="14" t="e">
        <v>#DIV/0!</v>
      </c>
      <c r="D12" s="14">
        <v>20.5</v>
      </c>
      <c r="E12" s="6" t="s">
        <v>160</v>
      </c>
    </row>
    <row r="13" spans="1:5">
      <c r="A13" s="14">
        <v>27</v>
      </c>
      <c r="B13" s="14">
        <v>2</v>
      </c>
      <c r="C13" s="14" t="e">
        <v>#DIV/0!</v>
      </c>
      <c r="D13" s="14">
        <v>24</v>
      </c>
      <c r="E13" s="6" t="s">
        <v>161</v>
      </c>
    </row>
    <row r="14" spans="1:5">
      <c r="A14" s="14">
        <v>37</v>
      </c>
      <c r="B14" s="14">
        <v>1</v>
      </c>
      <c r="C14" s="14" t="e">
        <v>#DIV/0!</v>
      </c>
      <c r="D14" s="14">
        <v>34</v>
      </c>
      <c r="E14" s="6" t="s">
        <v>162</v>
      </c>
    </row>
    <row r="15" spans="1:5">
      <c r="A15" s="14">
        <v>64.5</v>
      </c>
      <c r="B15" s="14">
        <v>22</v>
      </c>
      <c r="C15" s="14" t="e">
        <v>#DIV/0!</v>
      </c>
      <c r="D15" s="14">
        <v>83</v>
      </c>
      <c r="E15" s="6" t="s">
        <v>163</v>
      </c>
    </row>
    <row r="16" spans="1:5">
      <c r="A16" s="14">
        <v>28</v>
      </c>
      <c r="B16" s="14">
        <v>2</v>
      </c>
      <c r="C16" s="14" t="e">
        <v>#DIV/0!</v>
      </c>
      <c r="D16" s="14">
        <v>40.666666666666664</v>
      </c>
      <c r="E16" s="6" t="s">
        <v>164</v>
      </c>
    </row>
    <row r="17" spans="1:5">
      <c r="A17" s="14">
        <v>18</v>
      </c>
      <c r="B17" s="14">
        <v>2</v>
      </c>
      <c r="C17" s="14" t="e">
        <v>#DIV/0!</v>
      </c>
      <c r="D17" s="14">
        <v>26.5</v>
      </c>
      <c r="E17" s="6" t="s">
        <v>165</v>
      </c>
    </row>
    <row r="18" spans="1:5">
      <c r="A18" s="14">
        <v>21</v>
      </c>
      <c r="B18" s="14">
        <v>3</v>
      </c>
      <c r="C18" s="14" t="e">
        <v>#DIV/0!</v>
      </c>
      <c r="D18" s="14">
        <v>28</v>
      </c>
      <c r="E18" s="6" t="s">
        <v>166</v>
      </c>
    </row>
    <row r="19" spans="1:5">
      <c r="A19" s="14">
        <v>31</v>
      </c>
      <c r="B19" s="14">
        <v>3</v>
      </c>
      <c r="C19" s="14" t="e">
        <v>#DIV/0!</v>
      </c>
      <c r="D19" s="14">
        <v>34</v>
      </c>
      <c r="E19" s="6" t="s">
        <v>167</v>
      </c>
    </row>
    <row r="20" spans="1:5">
      <c r="A20" s="14">
        <v>140</v>
      </c>
      <c r="B20" s="14" t="e">
        <v>#DIV/0!</v>
      </c>
      <c r="C20" s="14" t="e">
        <v>#DIV/0!</v>
      </c>
      <c r="D20" s="14">
        <v>63</v>
      </c>
      <c r="E20" s="6" t="s">
        <v>168</v>
      </c>
    </row>
    <row r="21" spans="1:5">
      <c r="A21" s="14">
        <v>13</v>
      </c>
      <c r="B21" s="14">
        <v>2</v>
      </c>
      <c r="C21" s="14" t="e">
        <v>#DIV/0!</v>
      </c>
      <c r="D21" s="14">
        <v>11.666666666666666</v>
      </c>
      <c r="E21" s="6" t="s">
        <v>169</v>
      </c>
    </row>
    <row r="22" spans="1:5">
      <c r="A22" s="14">
        <v>19</v>
      </c>
      <c r="B22" s="14">
        <v>1</v>
      </c>
      <c r="C22" s="14" t="e">
        <v>#DIV/0!</v>
      </c>
      <c r="D22" s="14">
        <v>20.333333333333332</v>
      </c>
      <c r="E22" s="6" t="s">
        <v>170</v>
      </c>
    </row>
    <row r="23" spans="1:5">
      <c r="A23" s="14">
        <v>6</v>
      </c>
      <c r="B23" s="14">
        <v>2</v>
      </c>
      <c r="C23" s="14" t="e">
        <v>#DIV/0!</v>
      </c>
      <c r="D23" s="14">
        <v>10.5</v>
      </c>
      <c r="E23" s="6" t="s">
        <v>171</v>
      </c>
    </row>
    <row r="24" spans="1:5">
      <c r="A24" s="14">
        <v>30</v>
      </c>
      <c r="B24" s="14">
        <v>15</v>
      </c>
      <c r="C24" s="14">
        <v>1</v>
      </c>
      <c r="D24" s="14">
        <v>33.75</v>
      </c>
      <c r="E24" s="6" t="s">
        <v>172</v>
      </c>
    </row>
    <row r="25" spans="1:5">
      <c r="A25" s="14">
        <v>29</v>
      </c>
      <c r="B25" s="14">
        <v>8.3333333333333339</v>
      </c>
      <c r="C25" s="14">
        <v>0.66666666666666663</v>
      </c>
      <c r="D25" s="14">
        <v>36.25</v>
      </c>
      <c r="E25" s="6" t="s">
        <v>173</v>
      </c>
    </row>
    <row r="26" spans="1:5">
      <c r="A26" s="14">
        <v>20.5</v>
      </c>
      <c r="B26" s="14">
        <v>10.5</v>
      </c>
      <c r="C26" s="14">
        <v>2.5</v>
      </c>
      <c r="D26" s="14">
        <v>29.333333333333332</v>
      </c>
      <c r="E26" s="6" t="s">
        <v>174</v>
      </c>
    </row>
    <row r="27" spans="1:5">
      <c r="A27" s="14">
        <v>72.5</v>
      </c>
      <c r="B27" s="14">
        <v>24</v>
      </c>
      <c r="C27" s="14">
        <v>25.5</v>
      </c>
      <c r="D27" s="14">
        <v>100.33333333333333</v>
      </c>
      <c r="E27" s="6" t="s">
        <v>175</v>
      </c>
    </row>
    <row r="28" spans="1:5">
      <c r="A28" s="14">
        <v>117</v>
      </c>
      <c r="B28" s="14">
        <v>24.333333333333332</v>
      </c>
      <c r="C28" s="14">
        <v>12</v>
      </c>
      <c r="D28" s="14">
        <v>133.25</v>
      </c>
      <c r="E28" s="6" t="s">
        <v>176</v>
      </c>
    </row>
    <row r="29" spans="1:5">
      <c r="A29" s="14">
        <v>77</v>
      </c>
      <c r="B29" s="14">
        <v>22</v>
      </c>
      <c r="C29" s="14">
        <v>16.5</v>
      </c>
      <c r="D29" s="14">
        <v>97</v>
      </c>
      <c r="E29" s="6" t="s">
        <v>177</v>
      </c>
    </row>
    <row r="30" spans="1:5">
      <c r="A30" s="14">
        <v>29</v>
      </c>
      <c r="B30" s="14" t="e">
        <v>#DIV/0!</v>
      </c>
      <c r="C30" s="14" t="e">
        <v>#DIV/0!</v>
      </c>
      <c r="D30" s="14">
        <v>31</v>
      </c>
      <c r="E30" s="6" t="s">
        <v>178</v>
      </c>
    </row>
    <row r="31" spans="1:5">
      <c r="A31" s="14">
        <v>42</v>
      </c>
      <c r="B31" s="14" t="e">
        <v>#DIV/0!</v>
      </c>
      <c r="C31" s="14" t="e">
        <v>#DIV/0!</v>
      </c>
      <c r="D31" s="14">
        <v>42</v>
      </c>
      <c r="E31" s="6" t="s">
        <v>179</v>
      </c>
    </row>
    <row r="32" spans="1:5">
      <c r="A32" s="14">
        <v>30</v>
      </c>
      <c r="B32" s="14" t="e">
        <v>#DIV/0!</v>
      </c>
      <c r="C32" s="14" t="e">
        <v>#DIV/0!</v>
      </c>
      <c r="D32" s="14">
        <v>30</v>
      </c>
      <c r="E32" s="6" t="s">
        <v>180</v>
      </c>
    </row>
    <row r="33" spans="1:5">
      <c r="A33" s="14">
        <v>29</v>
      </c>
      <c r="B33" s="14" t="e">
        <v>#DIV/0!</v>
      </c>
      <c r="C33" s="14" t="e">
        <v>#DIV/0!</v>
      </c>
      <c r="D33" s="14">
        <v>29</v>
      </c>
      <c r="E33" s="6" t="s">
        <v>181</v>
      </c>
    </row>
    <row r="34" spans="1:5">
      <c r="A34" s="14">
        <v>35</v>
      </c>
      <c r="B34" s="14" t="e">
        <v>#DIV/0!</v>
      </c>
      <c r="C34" s="14" t="e">
        <v>#DIV/0!</v>
      </c>
      <c r="D34" s="14">
        <v>35</v>
      </c>
      <c r="E34" s="6" t="s">
        <v>182</v>
      </c>
    </row>
    <row r="35" spans="1:5">
      <c r="A35" s="14">
        <v>45</v>
      </c>
      <c r="B35" s="14" t="e">
        <v>#DIV/0!</v>
      </c>
      <c r="C35" s="14" t="e">
        <v>#DIV/0!</v>
      </c>
      <c r="D35" s="14">
        <v>45</v>
      </c>
      <c r="E35" s="6" t="s">
        <v>183</v>
      </c>
    </row>
    <row r="36" spans="1:5">
      <c r="A36" s="14">
        <v>95</v>
      </c>
      <c r="B36" s="14">
        <v>1</v>
      </c>
      <c r="C36" s="14" t="e">
        <v>#DIV/0!</v>
      </c>
      <c r="D36" s="14">
        <v>96</v>
      </c>
      <c r="E36" s="6" t="s">
        <v>184</v>
      </c>
    </row>
    <row r="37" spans="1:5">
      <c r="A37" s="14">
        <v>129</v>
      </c>
      <c r="B37" s="14">
        <v>5</v>
      </c>
      <c r="C37" s="14" t="e">
        <v>#DIV/0!</v>
      </c>
      <c r="D37" s="14">
        <v>134</v>
      </c>
      <c r="E37" s="6" t="s">
        <v>185</v>
      </c>
    </row>
    <row r="38" spans="1:5">
      <c r="A38" s="14">
        <v>172</v>
      </c>
      <c r="B38" s="14">
        <v>6</v>
      </c>
      <c r="C38" s="14" t="e">
        <v>#DIV/0!</v>
      </c>
      <c r="D38" s="14">
        <v>178</v>
      </c>
      <c r="E38" s="6" t="s">
        <v>186</v>
      </c>
    </row>
    <row r="39" spans="1:5">
      <c r="A39" s="14">
        <v>126</v>
      </c>
      <c r="B39" s="14">
        <v>4</v>
      </c>
      <c r="C39" s="14" t="e">
        <v>#DIV/0!</v>
      </c>
      <c r="D39" s="14">
        <v>130</v>
      </c>
      <c r="E39" s="6" t="s">
        <v>187</v>
      </c>
    </row>
    <row r="40" spans="1:5">
      <c r="A40" s="14">
        <v>126</v>
      </c>
      <c r="B40" s="14">
        <v>2</v>
      </c>
      <c r="C40" s="14" t="e">
        <v>#DIV/0!</v>
      </c>
      <c r="D40" s="14">
        <v>128</v>
      </c>
      <c r="E40" s="6" t="s">
        <v>188</v>
      </c>
    </row>
    <row r="41" spans="1:5">
      <c r="A41" s="14">
        <v>134</v>
      </c>
      <c r="B41" s="14">
        <v>26</v>
      </c>
      <c r="C41" s="14" t="e">
        <v>#DIV/0!</v>
      </c>
      <c r="D41" s="14">
        <v>160</v>
      </c>
      <c r="E41" s="6" t="s">
        <v>189</v>
      </c>
    </row>
    <row r="42" spans="1:5">
      <c r="A42" s="14">
        <v>83</v>
      </c>
      <c r="B42" s="14" t="e">
        <v>#DIV/0!</v>
      </c>
      <c r="C42" s="14" t="e">
        <v>#DIV/0!</v>
      </c>
      <c r="D42" s="14">
        <v>83</v>
      </c>
      <c r="E42" s="6" t="s">
        <v>190</v>
      </c>
    </row>
    <row r="43" spans="1:5">
      <c r="A43" s="14">
        <v>99</v>
      </c>
      <c r="B43" s="14" t="e">
        <v>#DIV/0!</v>
      </c>
      <c r="C43" s="14" t="e">
        <v>#DIV/0!</v>
      </c>
      <c r="D43" s="14">
        <v>99</v>
      </c>
      <c r="E43" s="6" t="s">
        <v>191</v>
      </c>
    </row>
    <row r="44" spans="1:5">
      <c r="A44" s="14">
        <v>75</v>
      </c>
      <c r="B44" s="14" t="e">
        <v>#DIV/0!</v>
      </c>
      <c r="C44" s="14" t="e">
        <v>#DIV/0!</v>
      </c>
      <c r="D44" s="14">
        <v>75</v>
      </c>
      <c r="E44" s="6" t="s">
        <v>192</v>
      </c>
    </row>
    <row r="45" spans="1:5">
      <c r="A45" s="14">
        <v>10</v>
      </c>
      <c r="B45" s="14" t="e">
        <v>#DIV/0!</v>
      </c>
      <c r="C45" s="14" t="e">
        <v>#DIV/0!</v>
      </c>
      <c r="D45" s="14">
        <v>10</v>
      </c>
      <c r="E45" s="6" t="s">
        <v>193</v>
      </c>
    </row>
    <row r="46" spans="1:5">
      <c r="A46" s="14">
        <v>17.5</v>
      </c>
      <c r="B46" s="14">
        <v>5</v>
      </c>
      <c r="C46" s="14" t="e">
        <v>#DIV/0!</v>
      </c>
      <c r="D46" s="14">
        <v>22.5</v>
      </c>
      <c r="E46" s="6" t="s">
        <v>194</v>
      </c>
    </row>
    <row r="47" spans="1:5">
      <c r="A47" s="14">
        <v>9</v>
      </c>
      <c r="B47" s="14">
        <v>2.5</v>
      </c>
      <c r="C47" s="14" t="e">
        <v>#DIV/0!</v>
      </c>
      <c r="D47" s="14">
        <v>11.5</v>
      </c>
      <c r="E47" s="6" t="s">
        <v>195</v>
      </c>
    </row>
    <row r="48" spans="1:5">
      <c r="A48" s="14">
        <v>14</v>
      </c>
      <c r="B48" s="14">
        <v>2</v>
      </c>
      <c r="C48" s="14" t="e">
        <v>#DIV/0!</v>
      </c>
      <c r="D48" s="14">
        <v>16</v>
      </c>
      <c r="E48" s="6" t="s">
        <v>196</v>
      </c>
    </row>
    <row r="49" spans="1:5">
      <c r="A49" s="14">
        <v>24.5</v>
      </c>
      <c r="B49" s="14">
        <v>4</v>
      </c>
      <c r="C49" s="14" t="e">
        <v>#DIV/0!</v>
      </c>
      <c r="D49" s="14">
        <v>28.5</v>
      </c>
      <c r="E49" s="6" t="s">
        <v>197</v>
      </c>
    </row>
    <row r="50" spans="1:5">
      <c r="A50" s="14">
        <v>42.5</v>
      </c>
      <c r="B50" s="14">
        <v>1.5</v>
      </c>
      <c r="C50" s="14" t="e">
        <v>#DIV/0!</v>
      </c>
      <c r="D50" s="14">
        <v>44</v>
      </c>
      <c r="E50" s="6" t="s">
        <v>198</v>
      </c>
    </row>
    <row r="51" spans="1:5">
      <c r="A51" s="14">
        <v>11</v>
      </c>
      <c r="B51" s="14">
        <v>3</v>
      </c>
      <c r="C51" s="14" t="e">
        <v>#DIV/0!</v>
      </c>
      <c r="D51" s="14">
        <v>14</v>
      </c>
      <c r="E51" s="7" t="s">
        <v>199</v>
      </c>
    </row>
    <row r="52" spans="1:5">
      <c r="A52" s="14">
        <v>26</v>
      </c>
      <c r="B52" s="14">
        <v>2.5</v>
      </c>
      <c r="C52" s="14" t="e">
        <v>#DIV/0!</v>
      </c>
      <c r="D52" s="14">
        <v>28.5</v>
      </c>
      <c r="E52" s="6" t="s">
        <v>200</v>
      </c>
    </row>
    <row r="53" spans="1:5">
      <c r="A53" s="14">
        <v>20</v>
      </c>
      <c r="B53" s="14">
        <v>2</v>
      </c>
      <c r="C53" s="14" t="e">
        <v>#DIV/0!</v>
      </c>
      <c r="D53" s="14">
        <v>21</v>
      </c>
      <c r="E53" s="6" t="s">
        <v>201</v>
      </c>
    </row>
    <row r="54" spans="1:5">
      <c r="A54" s="14">
        <v>48.5</v>
      </c>
      <c r="B54" s="14">
        <v>4</v>
      </c>
      <c r="C54" s="14" t="e">
        <v>#DIV/0!</v>
      </c>
      <c r="D54" s="14">
        <v>52.5</v>
      </c>
      <c r="E54" s="6" t="s">
        <v>202</v>
      </c>
    </row>
    <row r="55" spans="1:5">
      <c r="A55" s="14">
        <v>52.333333333333336</v>
      </c>
      <c r="B55" s="14">
        <v>28.333333333333332</v>
      </c>
      <c r="C55" s="14">
        <v>17.666666666666668</v>
      </c>
      <c r="D55" s="14">
        <v>98.333333333333329</v>
      </c>
      <c r="E55" s="6" t="s">
        <v>203</v>
      </c>
    </row>
    <row r="56" spans="1:5">
      <c r="A56" s="14">
        <v>50</v>
      </c>
      <c r="B56" s="14">
        <v>47</v>
      </c>
      <c r="C56" s="14">
        <v>28</v>
      </c>
      <c r="D56" s="14">
        <v>125</v>
      </c>
      <c r="E56" s="6" t="s">
        <v>204</v>
      </c>
    </row>
    <row r="57" spans="1:5">
      <c r="A57" s="14">
        <v>58</v>
      </c>
      <c r="B57" s="14">
        <v>33</v>
      </c>
      <c r="C57" s="14">
        <v>19</v>
      </c>
      <c r="D57" s="14">
        <v>110</v>
      </c>
      <c r="E57" s="6" t="s">
        <v>205</v>
      </c>
    </row>
    <row r="58" spans="1:5">
      <c r="A58" s="14">
        <v>44</v>
      </c>
      <c r="B58" s="14">
        <v>64</v>
      </c>
      <c r="C58" s="14">
        <v>31</v>
      </c>
      <c r="D58" s="14">
        <v>139</v>
      </c>
      <c r="E58" s="6" t="s">
        <v>206</v>
      </c>
    </row>
    <row r="59" spans="1:5">
      <c r="A59" s="14">
        <v>60</v>
      </c>
      <c r="B59" s="14">
        <v>172</v>
      </c>
      <c r="C59" s="14">
        <v>57</v>
      </c>
      <c r="D59" s="14">
        <v>289</v>
      </c>
      <c r="E59" s="6" t="s">
        <v>207</v>
      </c>
    </row>
    <row r="60" spans="1:5">
      <c r="A60" s="14">
        <v>26</v>
      </c>
      <c r="B60" s="14">
        <v>8</v>
      </c>
      <c r="C60" s="14">
        <v>19</v>
      </c>
      <c r="D60" s="14">
        <v>53</v>
      </c>
      <c r="E60" s="6" t="s">
        <v>208</v>
      </c>
    </row>
    <row r="61" spans="1:5">
      <c r="A61" s="14">
        <v>24</v>
      </c>
      <c r="B61" s="14">
        <v>5</v>
      </c>
      <c r="C61" s="14">
        <v>8</v>
      </c>
      <c r="D61" s="14">
        <v>37</v>
      </c>
      <c r="E61" s="6" t="s">
        <v>209</v>
      </c>
    </row>
    <row r="62" spans="1:5">
      <c r="A62" s="14">
        <v>26</v>
      </c>
      <c r="B62" s="14">
        <v>6</v>
      </c>
      <c r="C62" s="14">
        <v>5</v>
      </c>
      <c r="D62" s="14">
        <v>37</v>
      </c>
      <c r="E62" s="6" t="s">
        <v>210</v>
      </c>
    </row>
    <row r="63" spans="1:5">
      <c r="A63" s="14">
        <v>21</v>
      </c>
      <c r="B63" s="14">
        <v>1</v>
      </c>
      <c r="C63" s="14">
        <v>0</v>
      </c>
      <c r="D63" s="14">
        <v>22</v>
      </c>
      <c r="E63" s="6" t="s">
        <v>211</v>
      </c>
    </row>
    <row r="64" spans="1:5">
      <c r="A64" s="14">
        <v>31</v>
      </c>
      <c r="B64" s="14">
        <v>4</v>
      </c>
      <c r="C64" s="14">
        <v>0</v>
      </c>
      <c r="D64" s="14">
        <v>35</v>
      </c>
      <c r="E64" s="6" t="s">
        <v>212</v>
      </c>
    </row>
    <row r="65" spans="1:7">
      <c r="A65" s="14">
        <v>15</v>
      </c>
      <c r="B65" s="14">
        <v>2</v>
      </c>
      <c r="C65" s="14">
        <v>5</v>
      </c>
      <c r="D65" s="14">
        <v>22</v>
      </c>
      <c r="E65" s="6" t="s">
        <v>213</v>
      </c>
    </row>
    <row r="66" spans="1:7">
      <c r="A66" s="14">
        <v>19</v>
      </c>
      <c r="B66" s="14">
        <v>18</v>
      </c>
      <c r="C66" s="14">
        <v>15</v>
      </c>
      <c r="D66" s="14">
        <v>52</v>
      </c>
      <c r="E66" t="s">
        <v>260</v>
      </c>
    </row>
    <row r="67" spans="1:7">
      <c r="A67" s="14">
        <v>26</v>
      </c>
      <c r="B67" s="14">
        <v>42.5</v>
      </c>
      <c r="C67" s="14">
        <v>9.5</v>
      </c>
      <c r="D67" s="14">
        <v>78</v>
      </c>
      <c r="E67" t="s">
        <v>261</v>
      </c>
    </row>
    <row r="68" spans="1:7">
      <c r="A68" s="14">
        <v>44</v>
      </c>
      <c r="B68" s="14">
        <v>39</v>
      </c>
      <c r="C68" s="14">
        <v>10</v>
      </c>
      <c r="D68" s="14">
        <v>93</v>
      </c>
      <c r="E68" t="s">
        <v>262</v>
      </c>
    </row>
    <row r="69" spans="1:7">
      <c r="A69" s="14">
        <v>16</v>
      </c>
      <c r="B69" s="14">
        <v>20</v>
      </c>
      <c r="C69" s="14">
        <v>6</v>
      </c>
      <c r="D69" s="14">
        <v>42</v>
      </c>
      <c r="E69" t="s">
        <v>263</v>
      </c>
    </row>
    <row r="70" spans="1:7">
      <c r="A70" s="14">
        <v>52</v>
      </c>
      <c r="B70" s="14">
        <v>20</v>
      </c>
      <c r="C70" s="14">
        <v>8</v>
      </c>
      <c r="D70" s="14">
        <v>80</v>
      </c>
      <c r="E70" t="s">
        <v>264</v>
      </c>
    </row>
    <row r="71" spans="1:7">
      <c r="A71" s="14">
        <v>31</v>
      </c>
      <c r="B71" s="14">
        <v>13</v>
      </c>
      <c r="C71" s="14">
        <v>7</v>
      </c>
      <c r="D71" s="14">
        <v>51</v>
      </c>
      <c r="E71" t="s">
        <v>265</v>
      </c>
    </row>
    <row r="72" spans="1:7">
      <c r="A72" s="14">
        <f>SUM(A3:A71)</f>
        <v>3024.6666666666665</v>
      </c>
      <c r="D72" s="14">
        <f>SUM(D3:D71)</f>
        <v>3948.7500000000005</v>
      </c>
      <c r="F72" t="s">
        <v>266</v>
      </c>
    </row>
    <row r="73" spans="1:7">
      <c r="A73" s="14">
        <f>AVERAGE(A3:A71)</f>
        <v>43.835748792270529</v>
      </c>
      <c r="C73" t="s">
        <v>267</v>
      </c>
      <c r="D73" s="14">
        <f>AVERAGE(D3:D71)</f>
        <v>57.228260869565226</v>
      </c>
    </row>
    <row r="74" spans="1:7">
      <c r="A74">
        <f>STDEV(A3:A71)</f>
        <v>37.21114779502976</v>
      </c>
      <c r="C74" t="s">
        <v>268</v>
      </c>
      <c r="D74">
        <f>STDEV(D3:D71)</f>
        <v>50.034564548373204</v>
      </c>
    </row>
    <row r="75" spans="1:7">
      <c r="A75" s="14">
        <f>MIN(A3:A71)</f>
        <v>6</v>
      </c>
      <c r="C75" t="s">
        <v>269</v>
      </c>
      <c r="D75" s="14">
        <f>MIN(D3:D71)</f>
        <v>10</v>
      </c>
    </row>
    <row r="76" spans="1:7">
      <c r="A76" s="14">
        <f>MAX(A3:A71)</f>
        <v>172</v>
      </c>
      <c r="C76" t="s">
        <v>270</v>
      </c>
      <c r="D76" s="14">
        <f>MAX(D3:D71)</f>
        <v>289</v>
      </c>
    </row>
    <row r="77" spans="1:7">
      <c r="G77" s="14">
        <f>D72+D106</f>
        <v>5982.166666666667</v>
      </c>
    </row>
    <row r="78" spans="1:7">
      <c r="A78" s="14" t="s">
        <v>140</v>
      </c>
      <c r="B78" s="14" t="s">
        <v>141</v>
      </c>
      <c r="C78" s="14" t="s">
        <v>142</v>
      </c>
      <c r="D78" s="14" t="s">
        <v>215</v>
      </c>
      <c r="E78" t="s">
        <v>144</v>
      </c>
    </row>
    <row r="79" spans="1:7">
      <c r="A79" s="14">
        <v>73</v>
      </c>
      <c r="B79" s="14">
        <v>12</v>
      </c>
      <c r="C79" s="14">
        <v>16</v>
      </c>
      <c r="D79" s="14">
        <v>91.666666666666671</v>
      </c>
      <c r="E79" s="8" t="s">
        <v>216</v>
      </c>
    </row>
    <row r="80" spans="1:7">
      <c r="A80" s="14">
        <v>69</v>
      </c>
      <c r="B80" s="14">
        <v>16</v>
      </c>
      <c r="C80" s="14">
        <v>6</v>
      </c>
      <c r="D80" s="14">
        <v>83.666666666666671</v>
      </c>
      <c r="E80" s="8" t="s">
        <v>217</v>
      </c>
    </row>
    <row r="81" spans="1:5">
      <c r="A81" s="14">
        <v>31</v>
      </c>
      <c r="B81" s="14">
        <v>6.5</v>
      </c>
      <c r="C81" s="14">
        <v>77</v>
      </c>
      <c r="D81" s="14">
        <v>86.666666666666671</v>
      </c>
      <c r="E81" s="8" t="s">
        <v>218</v>
      </c>
    </row>
    <row r="82" spans="1:5">
      <c r="A82" s="14">
        <v>29.833333333333332</v>
      </c>
      <c r="B82" s="14">
        <v>9</v>
      </c>
      <c r="C82" s="14">
        <v>5.8</v>
      </c>
      <c r="D82" s="14">
        <v>42.166666666666664</v>
      </c>
      <c r="E82" s="8" t="s">
        <v>219</v>
      </c>
    </row>
    <row r="83" spans="1:5">
      <c r="A83" s="14">
        <v>70.333333333333329</v>
      </c>
      <c r="B83" s="14">
        <v>15</v>
      </c>
      <c r="C83" s="14">
        <v>3</v>
      </c>
      <c r="D83" s="14">
        <v>85.333333333333329</v>
      </c>
      <c r="E83" s="8" t="s">
        <v>220</v>
      </c>
    </row>
    <row r="84" spans="1:5">
      <c r="A84" s="14">
        <v>28.25</v>
      </c>
      <c r="B84" s="14">
        <v>13.666666666666666</v>
      </c>
      <c r="C84" s="14">
        <v>30</v>
      </c>
      <c r="D84" s="14">
        <v>61</v>
      </c>
      <c r="E84" s="8" t="s">
        <v>221</v>
      </c>
    </row>
    <row r="85" spans="1:5">
      <c r="A85" s="14">
        <v>82.25</v>
      </c>
      <c r="B85" s="14">
        <v>18.666666666666668</v>
      </c>
      <c r="C85" s="14">
        <v>25.333333333333332</v>
      </c>
      <c r="D85" s="14">
        <v>115.25</v>
      </c>
      <c r="E85" s="8" t="s">
        <v>222</v>
      </c>
    </row>
    <row r="86" spans="1:5">
      <c r="A86" s="14">
        <v>134.66666666666666</v>
      </c>
      <c r="B86" s="14">
        <v>9.3333333333333339</v>
      </c>
      <c r="C86" s="14">
        <v>5</v>
      </c>
      <c r="D86" s="14">
        <v>147.33333333333334</v>
      </c>
      <c r="E86" s="8" t="s">
        <v>223</v>
      </c>
    </row>
    <row r="87" spans="1:5">
      <c r="A87" s="14">
        <v>131</v>
      </c>
      <c r="B87" s="14">
        <v>11</v>
      </c>
      <c r="C87" s="14">
        <v>11</v>
      </c>
      <c r="D87" s="14">
        <v>145.66666666666666</v>
      </c>
      <c r="E87" s="8" t="s">
        <v>224</v>
      </c>
    </row>
    <row r="88" spans="1:5">
      <c r="A88" s="14">
        <v>86.666666666666671</v>
      </c>
      <c r="B88" s="14">
        <v>12.333333333333334</v>
      </c>
      <c r="C88" s="14">
        <v>17</v>
      </c>
      <c r="D88" s="14">
        <v>104.66666666666667</v>
      </c>
      <c r="E88" s="8" t="s">
        <v>225</v>
      </c>
    </row>
    <row r="89" spans="1:5">
      <c r="A89" s="14">
        <v>68.333333333333329</v>
      </c>
      <c r="B89" s="14">
        <v>13</v>
      </c>
      <c r="C89" s="14">
        <v>9</v>
      </c>
      <c r="D89" s="14">
        <v>87.333333333333329</v>
      </c>
      <c r="E89" s="8" t="s">
        <v>226</v>
      </c>
    </row>
    <row r="90" spans="1:5">
      <c r="A90" s="14">
        <v>139</v>
      </c>
      <c r="B90" s="14">
        <v>15.5</v>
      </c>
      <c r="C90" s="14">
        <v>21</v>
      </c>
      <c r="D90" s="14">
        <v>163.33333333333334</v>
      </c>
      <c r="E90" s="8" t="s">
        <v>227</v>
      </c>
    </row>
    <row r="91" spans="1:5">
      <c r="A91" s="14">
        <v>55.666666666666664</v>
      </c>
      <c r="B91" s="14">
        <v>22.333333333333332</v>
      </c>
      <c r="C91" s="14">
        <v>18.5</v>
      </c>
      <c r="D91" s="14">
        <v>90.333333333333329</v>
      </c>
      <c r="E91" s="8" t="s">
        <v>228</v>
      </c>
    </row>
    <row r="92" spans="1:5">
      <c r="A92" s="14">
        <v>35.666666666666664</v>
      </c>
      <c r="B92" s="14">
        <v>12</v>
      </c>
      <c r="C92" s="14">
        <v>21</v>
      </c>
      <c r="D92" s="14">
        <v>61.666666666666664</v>
      </c>
      <c r="E92" s="8" t="s">
        <v>229</v>
      </c>
    </row>
    <row r="93" spans="1:5">
      <c r="A93" s="14">
        <v>35.333333333333336</v>
      </c>
      <c r="B93" s="14">
        <v>14</v>
      </c>
      <c r="C93" s="14">
        <v>21.5</v>
      </c>
      <c r="D93" s="14">
        <v>63.666666666666664</v>
      </c>
      <c r="E93" s="8" t="s">
        <v>230</v>
      </c>
    </row>
    <row r="94" spans="1:5">
      <c r="A94" s="14">
        <v>88.333333333333329</v>
      </c>
      <c r="B94" s="14">
        <v>17.666666666666668</v>
      </c>
      <c r="C94" s="14">
        <v>9.5</v>
      </c>
      <c r="D94" s="14">
        <v>112.33333333333333</v>
      </c>
      <c r="E94" s="8" t="s">
        <v>231</v>
      </c>
    </row>
    <row r="95" spans="1:5">
      <c r="A95" s="14">
        <v>85</v>
      </c>
      <c r="B95" s="14">
        <v>1</v>
      </c>
      <c r="C95" s="14" t="e">
        <v>#DIV/0!</v>
      </c>
      <c r="D95" s="14">
        <v>86</v>
      </c>
      <c r="E95" s="8" t="s">
        <v>232</v>
      </c>
    </row>
    <row r="96" spans="1:5">
      <c r="A96" s="14">
        <v>83</v>
      </c>
      <c r="B96" s="14" t="e">
        <v>#DIV/0!</v>
      </c>
      <c r="C96" s="14" t="e">
        <v>#DIV/0!</v>
      </c>
      <c r="D96" s="14">
        <v>83</v>
      </c>
      <c r="E96" s="8" t="s">
        <v>233</v>
      </c>
    </row>
    <row r="97" spans="1:6">
      <c r="A97" s="14">
        <v>5</v>
      </c>
      <c r="B97" s="14">
        <v>2</v>
      </c>
      <c r="C97" s="14" t="e">
        <v>#DIV/0!</v>
      </c>
      <c r="D97" s="14">
        <v>7</v>
      </c>
      <c r="E97" s="8" t="s">
        <v>234</v>
      </c>
    </row>
    <row r="98" spans="1:6">
      <c r="A98" s="14">
        <v>13</v>
      </c>
      <c r="B98" s="14">
        <v>2</v>
      </c>
      <c r="C98" s="14" t="e">
        <v>#DIV/0!</v>
      </c>
      <c r="D98" s="14">
        <v>15</v>
      </c>
      <c r="E98" s="8" t="s">
        <v>235</v>
      </c>
    </row>
    <row r="99" spans="1:6">
      <c r="A99" s="14">
        <v>15</v>
      </c>
      <c r="B99" s="14">
        <v>2</v>
      </c>
      <c r="C99" s="14" t="e">
        <v>#DIV/0!</v>
      </c>
      <c r="D99" s="14">
        <v>17</v>
      </c>
      <c r="E99" s="8" t="s">
        <v>236</v>
      </c>
    </row>
    <row r="100" spans="1:6">
      <c r="A100" s="14">
        <v>13</v>
      </c>
      <c r="B100" s="14">
        <v>3</v>
      </c>
      <c r="C100" s="14" t="e">
        <v>#DIV/0!</v>
      </c>
      <c r="D100" s="14">
        <v>16</v>
      </c>
      <c r="E100" s="8" t="s">
        <v>237</v>
      </c>
    </row>
    <row r="101" spans="1:6">
      <c r="A101" s="14">
        <v>36.333333333333336</v>
      </c>
      <c r="B101" s="14">
        <v>12.333333333333334</v>
      </c>
      <c r="C101" s="14">
        <v>20</v>
      </c>
      <c r="D101" s="14">
        <v>55.333333333333336</v>
      </c>
      <c r="E101" s="8" t="s">
        <v>238</v>
      </c>
    </row>
    <row r="102" spans="1:6">
      <c r="A102" s="14">
        <v>39</v>
      </c>
      <c r="B102" s="14">
        <v>21</v>
      </c>
      <c r="C102" s="14" t="e">
        <v>#DIV/0!</v>
      </c>
      <c r="D102" s="14">
        <v>60</v>
      </c>
      <c r="E102" s="8" t="s">
        <v>239</v>
      </c>
    </row>
    <row r="103" spans="1:6">
      <c r="A103" s="14">
        <v>39.5</v>
      </c>
      <c r="B103" s="14">
        <v>7.5</v>
      </c>
      <c r="C103" s="14">
        <v>15.5</v>
      </c>
      <c r="D103" s="14">
        <v>62.5</v>
      </c>
      <c r="E103" s="8" t="s">
        <v>240</v>
      </c>
    </row>
    <row r="104" spans="1:6">
      <c r="A104" s="14">
        <v>36.5</v>
      </c>
      <c r="B104" s="14">
        <v>7.5</v>
      </c>
      <c r="C104" s="14">
        <v>10.5</v>
      </c>
      <c r="D104" s="14">
        <v>54.5</v>
      </c>
      <c r="E104" s="8" t="s">
        <v>241</v>
      </c>
    </row>
    <row r="105" spans="1:6">
      <c r="A105" s="14">
        <v>24</v>
      </c>
      <c r="B105" s="14">
        <v>7.5</v>
      </c>
      <c r="C105" s="14">
        <v>3.5</v>
      </c>
      <c r="D105" s="14">
        <v>35</v>
      </c>
      <c r="E105" s="8" t="s">
        <v>242</v>
      </c>
    </row>
    <row r="106" spans="1:6">
      <c r="A106" s="14">
        <f>SUM(A79:A105)</f>
        <v>1547.6666666666665</v>
      </c>
      <c r="B106" s="14"/>
      <c r="D106" s="14">
        <f>SUM(D79:D105)</f>
        <v>2033.4166666666665</v>
      </c>
      <c r="F106" t="s">
        <v>271</v>
      </c>
    </row>
    <row r="107" spans="1:6">
      <c r="A107" s="14">
        <f>AVERAGE(A79:A105)</f>
        <v>57.32098765432098</v>
      </c>
      <c r="B107" s="14"/>
      <c r="C107" t="s">
        <v>267</v>
      </c>
      <c r="D107" s="14">
        <f>AVERAGE(D79:D105)</f>
        <v>75.311728395061721</v>
      </c>
    </row>
    <row r="108" spans="1:6">
      <c r="A108">
        <f>STDEV(A79:A105)</f>
        <v>37.707649474629832</v>
      </c>
      <c r="C108" t="s">
        <v>268</v>
      </c>
      <c r="D108">
        <f>STDEV(D79:D105)</f>
        <v>40.442514815353178</v>
      </c>
    </row>
    <row r="109" spans="1:6">
      <c r="A109" s="14">
        <f>MIN(A79:A105)</f>
        <v>5</v>
      </c>
      <c r="C109" t="s">
        <v>269</v>
      </c>
      <c r="D109" s="14">
        <f>MIN(D79:D105)</f>
        <v>7</v>
      </c>
    </row>
    <row r="110" spans="1:6">
      <c r="A110" s="14">
        <f>MAX(A79:A105)</f>
        <v>139</v>
      </c>
      <c r="C110" t="s">
        <v>270</v>
      </c>
      <c r="D110" s="14">
        <f>MAX(D79:D105)</f>
        <v>163.33333333333334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F6B3-5852-4CAE-8B99-59605568AE77}">
  <dimension ref="B1:CT203"/>
  <sheetViews>
    <sheetView topLeftCell="AT10" workbookViewId="0">
      <selection activeCell="AT10" sqref="AT10"/>
    </sheetView>
  </sheetViews>
  <sheetFormatPr defaultColWidth="8.85546875" defaultRowHeight="15"/>
  <cols>
    <col min="27" max="27" width="13.42578125" customWidth="1"/>
    <col min="28" max="28" width="17" bestFit="1" customWidth="1"/>
    <col min="29" max="29" width="10.42578125" bestFit="1" customWidth="1"/>
    <col min="30" max="30" width="18" customWidth="1"/>
    <col min="33" max="33" width="18" customWidth="1"/>
    <col min="34" max="34" width="19.42578125" customWidth="1"/>
    <col min="35" max="35" width="17.85546875" customWidth="1"/>
    <col min="37" max="37" width="13.85546875" bestFit="1" customWidth="1"/>
    <col min="39" max="39" width="19.85546875" customWidth="1"/>
    <col min="40" max="40" width="14" customWidth="1"/>
    <col min="42" max="42" width="12.42578125" customWidth="1"/>
    <col min="48" max="48" width="16.42578125" bestFit="1" customWidth="1"/>
    <col min="49" max="64" width="11.42578125" bestFit="1" customWidth="1"/>
    <col min="79" max="79" width="14" bestFit="1" customWidth="1"/>
  </cols>
  <sheetData>
    <row r="1" spans="2:98">
      <c r="D1" s="2" t="s">
        <v>272</v>
      </c>
      <c r="E1" s="2"/>
      <c r="F1" s="2"/>
      <c r="G1" s="2"/>
      <c r="H1" s="2"/>
      <c r="AA1">
        <v>10</v>
      </c>
      <c r="AB1" t="s">
        <v>273</v>
      </c>
      <c r="AC1" t="s">
        <v>274</v>
      </c>
      <c r="AF1" t="s">
        <v>275</v>
      </c>
      <c r="AG1" s="32">
        <v>13</v>
      </c>
      <c r="AH1" t="s">
        <v>276</v>
      </c>
      <c r="AI1" t="s">
        <v>274</v>
      </c>
      <c r="AL1" t="s">
        <v>275</v>
      </c>
      <c r="AM1" s="32">
        <v>11</v>
      </c>
      <c r="AN1" t="s">
        <v>277</v>
      </c>
      <c r="AO1" t="s">
        <v>274</v>
      </c>
      <c r="AR1" t="s">
        <v>275</v>
      </c>
      <c r="AT1" s="2" t="s">
        <v>278</v>
      </c>
      <c r="AU1" s="2">
        <f>AM1+AG1+AA1+AA17+AG17+AM17+AA32+AG32+AM32+AA52+AG52</f>
        <v>142</v>
      </c>
      <c r="BO1" t="s">
        <v>279</v>
      </c>
      <c r="BY1">
        <f>BX2+BU2+BR2+BO2+BO18+BS18+BW18+BW37+BS37+BS49+BS54+BS57+BS63+BO63+BO59+BO50</f>
        <v>142</v>
      </c>
      <c r="CA1" t="s">
        <v>280</v>
      </c>
      <c r="CK1" t="e">
        <f>#REF!+#REF!+CE2+#REF!+#REF!+#REF!+CK23+#REF!+#REF!+CK11+CF27+CB25+#REF!+#REF!+#REF!+#REF!</f>
        <v>#REF!</v>
      </c>
    </row>
    <row r="2" spans="2:98" ht="15.95">
      <c r="D2" t="s">
        <v>26</v>
      </c>
      <c r="E2" s="13" t="s">
        <v>92</v>
      </c>
      <c r="F2" t="s">
        <v>25</v>
      </c>
      <c r="G2" s="13" t="s">
        <v>14</v>
      </c>
      <c r="H2" t="s">
        <v>4</v>
      </c>
      <c r="I2" s="13" t="s">
        <v>5</v>
      </c>
      <c r="J2" s="13" t="s">
        <v>6</v>
      </c>
      <c r="K2" s="13" t="s">
        <v>7</v>
      </c>
      <c r="L2" s="13" t="s">
        <v>8</v>
      </c>
      <c r="M2" t="s">
        <v>9</v>
      </c>
      <c r="O2" t="s">
        <v>281</v>
      </c>
      <c r="P2" s="13" t="s">
        <v>92</v>
      </c>
      <c r="Q2" t="s">
        <v>25</v>
      </c>
      <c r="R2" s="13" t="s">
        <v>14</v>
      </c>
      <c r="S2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t="s">
        <v>9</v>
      </c>
      <c r="AA2" t="s">
        <v>282</v>
      </c>
      <c r="AB2" t="s">
        <v>283</v>
      </c>
      <c r="AC2" s="16">
        <f>T3</f>
        <v>2.3529411764705882E-2</v>
      </c>
      <c r="AD2" s="16" t="s">
        <v>284</v>
      </c>
      <c r="AE2" s="16">
        <f>AC2+AC5</f>
        <v>0.19215686274509802</v>
      </c>
      <c r="AF2" s="16">
        <f>AE2*$N$6</f>
        <v>16.333333333333332</v>
      </c>
      <c r="AG2" s="32" t="s">
        <v>285</v>
      </c>
      <c r="AH2" t="s">
        <v>286</v>
      </c>
      <c r="AI2">
        <f>Q8/3</f>
        <v>0.20319634703196346</v>
      </c>
      <c r="AJ2" t="s">
        <v>286</v>
      </c>
      <c r="AK2" s="16">
        <f>AI2+AI4+AI6+AI7+AI8+AI9+AI10+AI11+AI14</f>
        <v>0.64269406392694062</v>
      </c>
      <c r="AL2">
        <f>AK2*$N$11</f>
        <v>46.916666666666664</v>
      </c>
      <c r="AM2" s="32" t="s">
        <v>285</v>
      </c>
      <c r="AN2" t="s">
        <v>287</v>
      </c>
      <c r="AO2">
        <f>Q13/2</f>
        <v>8.3720930232558138E-2</v>
      </c>
      <c r="AP2" t="s">
        <v>288</v>
      </c>
      <c r="AQ2" s="16">
        <f>AO4+AO6+AO7+AO9+AO10+AO11</f>
        <v>0.8046511627906977</v>
      </c>
      <c r="AR2">
        <f>AQ2*$N$16</f>
        <v>86.5</v>
      </c>
      <c r="AT2" s="2"/>
      <c r="AU2" s="2" t="s">
        <v>289</v>
      </c>
      <c r="AV2" t="s">
        <v>290</v>
      </c>
      <c r="BO2" s="41">
        <v>13</v>
      </c>
      <c r="BP2" s="42"/>
      <c r="BQ2" s="42"/>
      <c r="BR2" s="43">
        <v>9</v>
      </c>
      <c r="BS2" s="42"/>
      <c r="BT2" s="42"/>
      <c r="BU2" s="43">
        <v>15</v>
      </c>
      <c r="BV2" s="42"/>
      <c r="BW2" s="42"/>
      <c r="BX2" s="43">
        <v>1</v>
      </c>
      <c r="BY2" s="29"/>
      <c r="CA2" s="41"/>
      <c r="CD2" s="42"/>
      <c r="CE2" s="42"/>
      <c r="CF2" s="42"/>
      <c r="CG2" s="42"/>
      <c r="CH2" s="42"/>
      <c r="CI2" s="42"/>
      <c r="CJ2" s="42"/>
      <c r="CK2" s="42"/>
      <c r="CP2" t="s">
        <v>291</v>
      </c>
      <c r="CT2" s="16"/>
    </row>
    <row r="3" spans="2:98" ht="15.95">
      <c r="E3" s="13" t="s">
        <v>10</v>
      </c>
      <c r="F3" s="13">
        <v>43</v>
      </c>
      <c r="G3" s="13">
        <v>3</v>
      </c>
      <c r="H3" s="18">
        <v>5</v>
      </c>
      <c r="I3" s="13">
        <v>2</v>
      </c>
      <c r="J3" s="18">
        <v>1</v>
      </c>
      <c r="K3" s="13"/>
      <c r="L3" s="18">
        <v>0.5</v>
      </c>
      <c r="M3" s="18">
        <v>3.5</v>
      </c>
      <c r="N3" s="13">
        <v>58</v>
      </c>
      <c r="P3" s="13" t="s">
        <v>10</v>
      </c>
      <c r="Q3" s="15">
        <f>F3/$N$6</f>
        <v>0.50588235294117645</v>
      </c>
      <c r="R3" s="15">
        <f t="shared" ref="R3:Y5" si="0">G3/$N$6</f>
        <v>3.5294117647058823E-2</v>
      </c>
      <c r="S3" s="15">
        <f t="shared" si="0"/>
        <v>5.8823529411764705E-2</v>
      </c>
      <c r="T3" s="15">
        <f t="shared" si="0"/>
        <v>2.3529411764705882E-2</v>
      </c>
      <c r="U3" s="15">
        <f t="shared" si="0"/>
        <v>1.1764705882352941E-2</v>
      </c>
      <c r="V3" s="15">
        <f t="shared" si="0"/>
        <v>0</v>
      </c>
      <c r="W3" s="15">
        <f t="shared" si="0"/>
        <v>5.8823529411764705E-3</v>
      </c>
      <c r="X3" s="15">
        <f t="shared" si="0"/>
        <v>4.1176470588235294E-2</v>
      </c>
      <c r="Y3" s="15">
        <f>N3/$N$6</f>
        <v>0.68235294117647061</v>
      </c>
      <c r="AA3" t="s">
        <v>292</v>
      </c>
      <c r="AB3" t="s">
        <v>286</v>
      </c>
      <c r="AC3" s="16">
        <f>R3</f>
        <v>3.5294117647058823E-2</v>
      </c>
      <c r="AD3" s="16" t="s">
        <v>293</v>
      </c>
      <c r="AE3" s="16">
        <f>AC4</f>
        <v>0.16862745098039214</v>
      </c>
      <c r="AF3" s="16">
        <f t="shared" ref="AF3:AF5" si="1">AE3*$N$6</f>
        <v>14.333333333333332</v>
      </c>
      <c r="AG3" s="32" t="s">
        <v>285</v>
      </c>
      <c r="AH3" t="s">
        <v>294</v>
      </c>
      <c r="AI3">
        <f>Q8/3</f>
        <v>0.20319634703196346</v>
      </c>
      <c r="AJ3" t="s">
        <v>295</v>
      </c>
      <c r="AK3">
        <f>AI3</f>
        <v>0.20319634703196346</v>
      </c>
      <c r="AL3">
        <f t="shared" ref="AL3:AL5" si="2">AK3*$N$11</f>
        <v>14.833333333333332</v>
      </c>
      <c r="AM3" s="32" t="s">
        <v>285</v>
      </c>
      <c r="AN3" t="s">
        <v>296</v>
      </c>
      <c r="AO3">
        <f>Q13/2</f>
        <v>8.3720930232558138E-2</v>
      </c>
      <c r="AP3" t="s">
        <v>296</v>
      </c>
      <c r="AQ3" s="16">
        <f>AO3</f>
        <v>8.3720930232558138E-2</v>
      </c>
      <c r="AR3">
        <f t="shared" ref="AR3:AR5" si="3">AQ3*$N$16</f>
        <v>9</v>
      </c>
      <c r="AV3" s="19" t="s">
        <v>297</v>
      </c>
      <c r="AW3" s="20" t="s">
        <v>273</v>
      </c>
      <c r="AX3" s="22" t="s">
        <v>276</v>
      </c>
      <c r="AY3" s="28" t="s">
        <v>277</v>
      </c>
      <c r="AZ3" s="20" t="s">
        <v>298</v>
      </c>
      <c r="BA3" s="29" t="s">
        <v>299</v>
      </c>
      <c r="BB3" s="22" t="s">
        <v>300</v>
      </c>
      <c r="BC3" s="22" t="s">
        <v>301</v>
      </c>
      <c r="BD3" s="22" t="s">
        <v>302</v>
      </c>
      <c r="BE3" s="22" t="s">
        <v>303</v>
      </c>
      <c r="BF3" s="22" t="s">
        <v>304</v>
      </c>
      <c r="BG3" s="22" t="s">
        <v>305</v>
      </c>
      <c r="BO3" s="32" t="s">
        <v>306</v>
      </c>
      <c r="BP3" t="s">
        <v>307</v>
      </c>
      <c r="BR3" t="s">
        <v>308</v>
      </c>
      <c r="BS3" t="s">
        <v>286</v>
      </c>
      <c r="BU3" t="s">
        <v>309</v>
      </c>
      <c r="BV3" t="s">
        <v>286</v>
      </c>
      <c r="BX3" s="32" t="s">
        <v>310</v>
      </c>
      <c r="BY3" s="44" t="s">
        <v>286</v>
      </c>
      <c r="CA3" s="32" t="s">
        <v>311</v>
      </c>
      <c r="CB3" t="s">
        <v>312</v>
      </c>
      <c r="CE3" t="s">
        <v>313</v>
      </c>
      <c r="CF3" t="s">
        <v>314</v>
      </c>
      <c r="CP3" t="s">
        <v>315</v>
      </c>
      <c r="CT3" s="16"/>
    </row>
    <row r="4" spans="2:98" ht="15.95">
      <c r="E4" s="13" t="s">
        <v>11</v>
      </c>
      <c r="F4" s="13">
        <v>7</v>
      </c>
      <c r="G4" s="18">
        <v>1.5</v>
      </c>
      <c r="H4" s="13">
        <v>0.5</v>
      </c>
      <c r="I4" s="13">
        <v>0.5</v>
      </c>
      <c r="J4" s="18">
        <v>2.5</v>
      </c>
      <c r="K4" s="13"/>
      <c r="L4" s="13"/>
      <c r="M4" s="13"/>
      <c r="N4" s="13">
        <v>12</v>
      </c>
      <c r="P4" s="13" t="s">
        <v>11</v>
      </c>
      <c r="Q4" s="15">
        <f t="shared" ref="Q4:Q5" si="4">F4/$N$6</f>
        <v>8.2352941176470587E-2</v>
      </c>
      <c r="R4" s="15">
        <f t="shared" si="0"/>
        <v>1.7647058823529412E-2</v>
      </c>
      <c r="S4" s="15">
        <f t="shared" si="0"/>
        <v>5.8823529411764705E-3</v>
      </c>
      <c r="T4" s="15">
        <f t="shared" si="0"/>
        <v>5.8823529411764705E-3</v>
      </c>
      <c r="U4" s="15">
        <f t="shared" si="0"/>
        <v>2.9411764705882353E-2</v>
      </c>
      <c r="V4" s="15">
        <f t="shared" si="0"/>
        <v>0</v>
      </c>
      <c r="W4" s="15">
        <f t="shared" si="0"/>
        <v>0</v>
      </c>
      <c r="X4" s="15">
        <f t="shared" si="0"/>
        <v>0</v>
      </c>
      <c r="Y4" s="15">
        <f t="shared" si="0"/>
        <v>0.14117647058823529</v>
      </c>
      <c r="AA4" t="s">
        <v>316</v>
      </c>
      <c r="AB4" t="s">
        <v>317</v>
      </c>
      <c r="AC4">
        <f>Q3/3</f>
        <v>0.16862745098039214</v>
      </c>
      <c r="AD4" t="s">
        <v>286</v>
      </c>
      <c r="AE4" s="16">
        <f>SUM(AC3,AC6,AC7,AC9,AC10,AC11)</f>
        <v>0.41568627450980383</v>
      </c>
      <c r="AF4" s="16">
        <f t="shared" si="1"/>
        <v>35.333333333333329</v>
      </c>
      <c r="AG4" s="32" t="s">
        <v>285</v>
      </c>
      <c r="AH4" t="s">
        <v>286</v>
      </c>
      <c r="AI4">
        <f>Q8/3</f>
        <v>0.20319634703196346</v>
      </c>
      <c r="AJ4" t="s">
        <v>318</v>
      </c>
      <c r="AK4">
        <f>AI5</f>
        <v>9.2465753424657529E-2</v>
      </c>
      <c r="AL4">
        <f t="shared" si="2"/>
        <v>6.75</v>
      </c>
      <c r="AM4" s="32" t="s">
        <v>319</v>
      </c>
      <c r="AN4" t="s">
        <v>286</v>
      </c>
      <c r="AO4" s="16">
        <f>Q14</f>
        <v>5.1162790697674418E-2</v>
      </c>
      <c r="AP4" t="s">
        <v>320</v>
      </c>
      <c r="AQ4" s="16">
        <f>AO8</f>
        <v>1.3953488372093023E-2</v>
      </c>
      <c r="AR4">
        <f>AQ4*$N$16</f>
        <v>1.5</v>
      </c>
      <c r="AV4" s="20" t="s">
        <v>286</v>
      </c>
      <c r="AW4" s="24">
        <v>35.33</v>
      </c>
      <c r="AX4" s="25">
        <f>AL2</f>
        <v>46.916666666666664</v>
      </c>
      <c r="AY4" s="24">
        <f>AR2</f>
        <v>86.5</v>
      </c>
      <c r="AZ4" s="20">
        <f>AF18</f>
        <v>27.866666666666667</v>
      </c>
      <c r="BA4" s="30">
        <f>AL18</f>
        <v>17.399999999999999</v>
      </c>
      <c r="BB4" s="25">
        <f>AR18</f>
        <v>30.055555555555557</v>
      </c>
      <c r="BC4" s="25">
        <v>52.2</v>
      </c>
      <c r="BD4" s="25">
        <v>111.75</v>
      </c>
      <c r="BE4" s="25">
        <v>27.5</v>
      </c>
      <c r="BF4" s="25">
        <v>46</v>
      </c>
      <c r="BG4" s="25">
        <v>28.25</v>
      </c>
      <c r="BO4" s="32" t="s">
        <v>306</v>
      </c>
      <c r="BP4" t="s">
        <v>321</v>
      </c>
      <c r="BR4" t="s">
        <v>322</v>
      </c>
      <c r="BS4" t="s">
        <v>286</v>
      </c>
      <c r="BU4" t="s">
        <v>323</v>
      </c>
      <c r="BV4" t="s">
        <v>286</v>
      </c>
      <c r="BY4" s="44"/>
      <c r="CA4" s="32" t="s">
        <v>311</v>
      </c>
      <c r="CB4" t="s">
        <v>324</v>
      </c>
      <c r="CE4" s="32" t="s">
        <v>325</v>
      </c>
      <c r="CF4" t="s">
        <v>286</v>
      </c>
      <c r="CJ4" s="32" t="s">
        <v>326</v>
      </c>
      <c r="CK4" t="s">
        <v>312</v>
      </c>
      <c r="CT4" s="16"/>
    </row>
    <row r="5" spans="2:98" ht="15.95">
      <c r="E5" t="s">
        <v>12</v>
      </c>
      <c r="F5" s="13">
        <v>5</v>
      </c>
      <c r="G5" s="13"/>
      <c r="H5" s="13"/>
      <c r="I5" s="13"/>
      <c r="J5" s="13">
        <v>10</v>
      </c>
      <c r="K5" s="13"/>
      <c r="L5" s="13"/>
      <c r="M5" s="13"/>
      <c r="N5" s="13">
        <v>15</v>
      </c>
      <c r="P5" t="s">
        <v>12</v>
      </c>
      <c r="Q5" s="15">
        <f t="shared" si="4"/>
        <v>5.8823529411764705E-2</v>
      </c>
      <c r="R5" s="15">
        <f t="shared" si="0"/>
        <v>0</v>
      </c>
      <c r="S5" s="15">
        <f t="shared" si="0"/>
        <v>0</v>
      </c>
      <c r="T5" s="15">
        <f t="shared" si="0"/>
        <v>0</v>
      </c>
      <c r="U5" s="15">
        <f t="shared" si="0"/>
        <v>0.11764705882352941</v>
      </c>
      <c r="V5" s="15">
        <f t="shared" si="0"/>
        <v>0</v>
      </c>
      <c r="W5" s="15">
        <f t="shared" si="0"/>
        <v>0</v>
      </c>
      <c r="X5" s="15">
        <f t="shared" si="0"/>
        <v>0</v>
      </c>
      <c r="Y5" s="15">
        <f t="shared" si="0"/>
        <v>0.17647058823529413</v>
      </c>
      <c r="AA5" t="s">
        <v>316</v>
      </c>
      <c r="AB5" t="s">
        <v>283</v>
      </c>
      <c r="AC5">
        <f>Q3/3</f>
        <v>0.16862745098039214</v>
      </c>
      <c r="AD5" t="s">
        <v>327</v>
      </c>
      <c r="AE5" s="16">
        <f>AC8</f>
        <v>5.8823529411764705E-2</v>
      </c>
      <c r="AF5" s="16">
        <f t="shared" si="1"/>
        <v>5</v>
      </c>
      <c r="AG5" s="32" t="s">
        <v>319</v>
      </c>
      <c r="AH5" t="s">
        <v>328</v>
      </c>
      <c r="AI5">
        <f>Q9/2</f>
        <v>9.2465753424657529E-2</v>
      </c>
      <c r="AJ5" t="s">
        <v>327</v>
      </c>
      <c r="AK5" s="16">
        <f>AI12</f>
        <v>4.7945205479452052E-2</v>
      </c>
      <c r="AL5">
        <f t="shared" si="2"/>
        <v>3.5</v>
      </c>
      <c r="AM5" s="32" t="s">
        <v>319</v>
      </c>
      <c r="AN5" t="s">
        <v>329</v>
      </c>
      <c r="AP5" t="s">
        <v>330</v>
      </c>
      <c r="AQ5" s="16">
        <f>AO2</f>
        <v>8.3720930232558138E-2</v>
      </c>
      <c r="AR5">
        <f t="shared" si="3"/>
        <v>9</v>
      </c>
      <c r="AV5" s="20" t="s">
        <v>296</v>
      </c>
      <c r="AW5" s="24"/>
      <c r="AX5" s="25"/>
      <c r="AY5" s="24">
        <f>AR3</f>
        <v>9</v>
      </c>
      <c r="AZ5" s="20"/>
      <c r="BA5" s="30"/>
      <c r="BB5" s="25"/>
      <c r="BC5" s="25">
        <v>31.5</v>
      </c>
      <c r="BD5" s="25">
        <v>1.25</v>
      </c>
      <c r="BE5" s="25">
        <v>30.67</v>
      </c>
      <c r="BF5" s="25">
        <v>6.5</v>
      </c>
      <c r="BG5" s="25"/>
      <c r="BO5" s="32" t="s">
        <v>292</v>
      </c>
      <c r="BP5" t="s">
        <v>286</v>
      </c>
      <c r="BR5" t="s">
        <v>308</v>
      </c>
      <c r="BS5" t="s">
        <v>286</v>
      </c>
      <c r="BU5" t="s">
        <v>309</v>
      </c>
      <c r="BV5" t="s">
        <v>286</v>
      </c>
      <c r="BY5" s="44"/>
      <c r="CA5" t="s">
        <v>331</v>
      </c>
      <c r="CB5" t="s">
        <v>321</v>
      </c>
      <c r="CE5" t="s">
        <v>325</v>
      </c>
      <c r="CF5" t="s">
        <v>332</v>
      </c>
      <c r="CJ5" t="s">
        <v>333</v>
      </c>
      <c r="CK5" t="s">
        <v>334</v>
      </c>
      <c r="CP5" t="s">
        <v>335</v>
      </c>
      <c r="CT5" s="16"/>
    </row>
    <row r="6" spans="2:98">
      <c r="N6">
        <v>85</v>
      </c>
      <c r="Y6" s="16">
        <f>SUM(Y3,Y4,Y5)</f>
        <v>1</v>
      </c>
      <c r="AA6" t="s">
        <v>316</v>
      </c>
      <c r="AB6" t="s">
        <v>286</v>
      </c>
      <c r="AC6">
        <f>Q3/3</f>
        <v>0.16862745098039214</v>
      </c>
      <c r="AE6" s="16">
        <f>SUM(AE2,AE3,AE4,AE5)</f>
        <v>0.83529411764705874</v>
      </c>
      <c r="AF6" s="16">
        <f>SUM(AF2,AF3,AF4,AF5)</f>
        <v>71</v>
      </c>
      <c r="AG6" s="32" t="s">
        <v>319</v>
      </c>
      <c r="AH6" t="s">
        <v>286</v>
      </c>
      <c r="AI6">
        <f>Q9/2</f>
        <v>9.2465753424657529E-2</v>
      </c>
      <c r="AK6" s="16">
        <f>SUM(AK2,AK3,AK4,AK5)</f>
        <v>0.98630136986301364</v>
      </c>
      <c r="AL6" s="16">
        <f>SUM(AL2,AL3,AL4,AL5)</f>
        <v>72</v>
      </c>
      <c r="AM6" s="32" t="s">
        <v>336</v>
      </c>
      <c r="AN6" t="s">
        <v>286</v>
      </c>
      <c r="AO6" s="16">
        <f>R13</f>
        <v>1.8604651162790697E-2</v>
      </c>
      <c r="AP6" t="s">
        <v>337</v>
      </c>
      <c r="AQ6" s="16">
        <f>AO12</f>
        <v>9.3023255813953487E-3</v>
      </c>
      <c r="AR6">
        <f>AQ6*$N$16</f>
        <v>1</v>
      </c>
      <c r="AV6" s="20" t="s">
        <v>338</v>
      </c>
      <c r="AW6" s="24"/>
      <c r="AX6" s="25"/>
      <c r="AY6" s="24"/>
      <c r="AZ6" s="20"/>
      <c r="BA6" s="30">
        <f>AL21</f>
        <v>0.6</v>
      </c>
      <c r="BB6" s="25"/>
      <c r="BC6" s="25"/>
      <c r="BD6" s="25">
        <v>3.5</v>
      </c>
      <c r="BE6" s="25">
        <v>4</v>
      </c>
      <c r="BF6" s="25"/>
      <c r="BG6" s="25"/>
      <c r="BO6" s="32" t="s">
        <v>292</v>
      </c>
      <c r="BP6" t="s">
        <v>314</v>
      </c>
      <c r="BR6" t="s">
        <v>322</v>
      </c>
      <c r="BS6" t="s">
        <v>286</v>
      </c>
      <c r="BU6" t="s">
        <v>309</v>
      </c>
      <c r="BV6" t="s">
        <v>286</v>
      </c>
      <c r="BY6" s="44"/>
      <c r="CA6" t="s">
        <v>339</v>
      </c>
      <c r="CB6" t="s">
        <v>340</v>
      </c>
      <c r="CE6" t="s">
        <v>313</v>
      </c>
      <c r="CF6" t="s">
        <v>286</v>
      </c>
      <c r="CP6" t="e" cm="1">
        <f t="array" aca="1" ref="CP6" ca="1">--think about hot needle</f>
        <v>#NAME?</v>
      </c>
      <c r="CT6" s="16"/>
    </row>
    <row r="7" spans="2:98" ht="15.95">
      <c r="D7" t="s">
        <v>26</v>
      </c>
      <c r="E7" s="13" t="s">
        <v>95</v>
      </c>
      <c r="F7" t="s">
        <v>25</v>
      </c>
      <c r="G7" s="13" t="s">
        <v>14</v>
      </c>
      <c r="H7" t="s">
        <v>4</v>
      </c>
      <c r="I7" s="13" t="s">
        <v>5</v>
      </c>
      <c r="J7" s="13" t="s">
        <v>6</v>
      </c>
      <c r="K7" s="13" t="s">
        <v>7</v>
      </c>
      <c r="L7" s="13" t="s">
        <v>8</v>
      </c>
      <c r="M7" t="s">
        <v>9</v>
      </c>
      <c r="O7" t="s">
        <v>341</v>
      </c>
      <c r="P7" s="13" t="s">
        <v>95</v>
      </c>
      <c r="Q7" t="s">
        <v>25</v>
      </c>
      <c r="R7" s="13" t="s">
        <v>14</v>
      </c>
      <c r="S7" t="s">
        <v>4</v>
      </c>
      <c r="T7" s="13" t="s">
        <v>5</v>
      </c>
      <c r="U7" s="13" t="s">
        <v>6</v>
      </c>
      <c r="V7" s="13" t="s">
        <v>7</v>
      </c>
      <c r="W7" s="13" t="s">
        <v>8</v>
      </c>
      <c r="X7" t="s">
        <v>9</v>
      </c>
      <c r="AA7" t="s">
        <v>342</v>
      </c>
      <c r="AB7" t="s">
        <v>286</v>
      </c>
      <c r="AC7" s="16">
        <f>U5</f>
        <v>0.11764705882352941</v>
      </c>
      <c r="AD7" s="16"/>
      <c r="AE7" s="16"/>
      <c r="AF7" s="16"/>
      <c r="AG7" s="32" t="s">
        <v>336</v>
      </c>
      <c r="AH7" t="s">
        <v>286</v>
      </c>
      <c r="AI7" s="16">
        <f>R8</f>
        <v>2.7397260273972601E-2</v>
      </c>
      <c r="AM7" s="32" t="s">
        <v>309</v>
      </c>
      <c r="AN7" t="s">
        <v>286</v>
      </c>
      <c r="AO7" s="16">
        <f>T13</f>
        <v>1.8604651162790697E-2</v>
      </c>
      <c r="AQ7" s="16">
        <f>SUM(AQ2, AQ3,AQ4,AQ5,AQ6)</f>
        <v>0.99534883720930223</v>
      </c>
      <c r="AR7" s="16">
        <f>SUM(AR2, AR3,AR4,AR5,AR6)</f>
        <v>107</v>
      </c>
      <c r="AV7" s="22" t="s">
        <v>343</v>
      </c>
      <c r="AW7" s="24"/>
      <c r="AX7" s="25"/>
      <c r="AY7" s="24"/>
      <c r="AZ7" s="20"/>
      <c r="BA7" s="30">
        <f>AL19</f>
        <v>19.600000000000001</v>
      </c>
      <c r="BB7" s="25">
        <f>AR19</f>
        <v>11</v>
      </c>
      <c r="BC7" s="25"/>
      <c r="BD7" s="25"/>
      <c r="BE7" s="25"/>
      <c r="BF7" s="25"/>
      <c r="BG7" s="25">
        <v>23.5</v>
      </c>
      <c r="BO7" s="32" t="s">
        <v>336</v>
      </c>
      <c r="BP7" t="s">
        <v>286</v>
      </c>
      <c r="BR7" t="s">
        <v>322</v>
      </c>
      <c r="BS7" t="s">
        <v>283</v>
      </c>
      <c r="BU7" t="s">
        <v>309</v>
      </c>
      <c r="BV7" t="s">
        <v>286</v>
      </c>
      <c r="BY7" s="44"/>
      <c r="CA7" t="s">
        <v>344</v>
      </c>
      <c r="CB7" t="s">
        <v>283</v>
      </c>
      <c r="CE7" t="s">
        <v>313</v>
      </c>
      <c r="CF7" t="s">
        <v>345</v>
      </c>
      <c r="CP7" t="s">
        <v>346</v>
      </c>
    </row>
    <row r="8" spans="2:98" ht="15.95">
      <c r="E8" s="13" t="s">
        <v>10</v>
      </c>
      <c r="F8" s="13">
        <v>44.5</v>
      </c>
      <c r="G8" s="13">
        <v>2</v>
      </c>
      <c r="H8" s="13">
        <v>0</v>
      </c>
      <c r="I8" s="13">
        <v>3.5</v>
      </c>
      <c r="J8" s="13">
        <v>0</v>
      </c>
      <c r="K8" s="13">
        <v>0</v>
      </c>
      <c r="L8" s="18">
        <v>0.5</v>
      </c>
      <c r="M8" s="18">
        <v>0.5</v>
      </c>
      <c r="N8">
        <v>51</v>
      </c>
      <c r="P8" s="13" t="s">
        <v>10</v>
      </c>
      <c r="Q8" s="15">
        <f>F8/$N$11</f>
        <v>0.6095890410958904</v>
      </c>
      <c r="R8" s="15">
        <f t="shared" ref="R8:Y10" si="5">G8/$N$11</f>
        <v>2.7397260273972601E-2</v>
      </c>
      <c r="S8" s="15">
        <f t="shared" si="5"/>
        <v>0</v>
      </c>
      <c r="T8" s="15">
        <f t="shared" si="5"/>
        <v>4.7945205479452052E-2</v>
      </c>
      <c r="U8" s="15">
        <f t="shared" si="5"/>
        <v>0</v>
      </c>
      <c r="V8" s="15">
        <f t="shared" si="5"/>
        <v>0</v>
      </c>
      <c r="W8" s="15">
        <f t="shared" si="5"/>
        <v>6.8493150684931503E-3</v>
      </c>
      <c r="X8" s="15">
        <f t="shared" si="5"/>
        <v>6.8493150684931503E-3</v>
      </c>
      <c r="Y8" s="15">
        <f t="shared" si="5"/>
        <v>0.69863013698630139</v>
      </c>
      <c r="AA8" t="s">
        <v>347</v>
      </c>
      <c r="AB8" t="s">
        <v>312</v>
      </c>
      <c r="AC8" s="16">
        <f>Q5</f>
        <v>5.8823529411764705E-2</v>
      </c>
      <c r="AD8" s="16"/>
      <c r="AE8" s="16"/>
      <c r="AF8" s="16"/>
      <c r="AG8" s="32" t="s">
        <v>322</v>
      </c>
      <c r="AH8" t="s">
        <v>286</v>
      </c>
      <c r="AI8" s="16">
        <f>R9</f>
        <v>1.3698630136986301E-2</v>
      </c>
      <c r="AM8" s="32" t="s">
        <v>348</v>
      </c>
      <c r="AN8" t="s">
        <v>320</v>
      </c>
      <c r="AO8" s="16">
        <f>U13</f>
        <v>1.3953488372093023E-2</v>
      </c>
      <c r="AV8" s="20" t="s">
        <v>295</v>
      </c>
      <c r="AW8" s="26"/>
      <c r="AX8" s="25">
        <f>AL3</f>
        <v>14.833333333333332</v>
      </c>
      <c r="AY8" s="24"/>
      <c r="AZ8" s="20"/>
      <c r="BA8" s="30"/>
      <c r="BB8" s="25"/>
      <c r="BC8" s="25"/>
      <c r="BD8" s="25"/>
      <c r="BE8" s="25"/>
      <c r="BF8" s="25"/>
      <c r="BG8" s="25"/>
      <c r="BO8" s="32" t="s">
        <v>292</v>
      </c>
      <c r="BP8" t="s">
        <v>286</v>
      </c>
      <c r="BR8" t="s">
        <v>308</v>
      </c>
      <c r="BS8" t="s">
        <v>286</v>
      </c>
      <c r="BU8" t="s">
        <v>349</v>
      </c>
      <c r="BV8" t="s">
        <v>286</v>
      </c>
      <c r="BY8" s="44"/>
      <c r="CA8" t="s">
        <v>344</v>
      </c>
      <c r="CB8" t="s">
        <v>338</v>
      </c>
      <c r="CE8" t="s">
        <v>313</v>
      </c>
      <c r="CF8" t="s">
        <v>350</v>
      </c>
      <c r="CJ8" t="s">
        <v>351</v>
      </c>
      <c r="CK8" t="s">
        <v>337</v>
      </c>
      <c r="CP8" t="s">
        <v>352</v>
      </c>
      <c r="CR8" t="s">
        <v>353</v>
      </c>
    </row>
    <row r="9" spans="2:98" ht="15.95">
      <c r="E9" s="13" t="s">
        <v>11</v>
      </c>
      <c r="F9" s="13">
        <v>13.5</v>
      </c>
      <c r="G9" s="13">
        <v>1</v>
      </c>
      <c r="H9" s="13">
        <v>0</v>
      </c>
      <c r="I9" s="13">
        <v>0</v>
      </c>
      <c r="J9" s="13">
        <v>1.5</v>
      </c>
      <c r="K9" s="13">
        <v>0</v>
      </c>
      <c r="L9" s="13">
        <v>0</v>
      </c>
      <c r="M9" s="13">
        <v>0</v>
      </c>
      <c r="N9">
        <v>16</v>
      </c>
      <c r="P9" s="13" t="s">
        <v>11</v>
      </c>
      <c r="Q9" s="15">
        <f t="shared" ref="Q9:Q10" si="6">F9/$N$11</f>
        <v>0.18493150684931506</v>
      </c>
      <c r="R9" s="15">
        <f t="shared" si="5"/>
        <v>1.3698630136986301E-2</v>
      </c>
      <c r="S9" s="15">
        <f t="shared" si="5"/>
        <v>0</v>
      </c>
      <c r="T9" s="15">
        <f t="shared" si="5"/>
        <v>0</v>
      </c>
      <c r="U9" s="15">
        <f t="shared" si="5"/>
        <v>2.0547945205479451E-2</v>
      </c>
      <c r="V9" s="15">
        <f t="shared" si="5"/>
        <v>0</v>
      </c>
      <c r="W9" s="15">
        <f t="shared" si="5"/>
        <v>0</v>
      </c>
      <c r="X9" s="15">
        <f t="shared" si="5"/>
        <v>0</v>
      </c>
      <c r="Y9" s="15">
        <f t="shared" si="5"/>
        <v>0.21917808219178081</v>
      </c>
      <c r="AA9" t="s">
        <v>310</v>
      </c>
      <c r="AB9" t="s">
        <v>286</v>
      </c>
      <c r="AC9" s="16">
        <f>T4</f>
        <v>5.8823529411764705E-3</v>
      </c>
      <c r="AD9" s="16"/>
      <c r="AE9" s="16"/>
      <c r="AF9" s="16"/>
      <c r="AG9" s="32" t="s">
        <v>309</v>
      </c>
      <c r="AH9" t="s">
        <v>286</v>
      </c>
      <c r="AI9" s="16">
        <f>T8</f>
        <v>4.7945205479452052E-2</v>
      </c>
      <c r="AM9" s="32" t="s">
        <v>354</v>
      </c>
      <c r="AN9" t="s">
        <v>286</v>
      </c>
      <c r="AO9" s="16">
        <f>Q15</f>
        <v>0.15348837209302327</v>
      </c>
      <c r="AV9" s="21" t="s">
        <v>317</v>
      </c>
      <c r="AW9" s="26">
        <v>14.33</v>
      </c>
      <c r="AX9" s="25"/>
      <c r="AY9" s="24"/>
      <c r="AZ9" s="20">
        <f>AF20</f>
        <v>8.5333333333333332</v>
      </c>
      <c r="BA9" s="30"/>
      <c r="BB9" s="25"/>
      <c r="BC9" s="25"/>
      <c r="BD9" s="25"/>
      <c r="BE9" s="25"/>
      <c r="BF9" s="25">
        <v>3.5</v>
      </c>
      <c r="BG9" s="25"/>
      <c r="BO9" s="32" t="s">
        <v>336</v>
      </c>
      <c r="BP9" t="s">
        <v>355</v>
      </c>
      <c r="BR9" t="s">
        <v>322</v>
      </c>
      <c r="BS9" t="s">
        <v>286</v>
      </c>
      <c r="BU9" t="s">
        <v>349</v>
      </c>
      <c r="BV9" t="s">
        <v>286</v>
      </c>
      <c r="BY9" s="44"/>
      <c r="CA9" t="s">
        <v>339</v>
      </c>
      <c r="CB9" t="s">
        <v>356</v>
      </c>
      <c r="CE9" t="s">
        <v>357</v>
      </c>
      <c r="CF9" t="s">
        <v>293</v>
      </c>
      <c r="CJ9" t="s">
        <v>351</v>
      </c>
      <c r="CK9" t="s">
        <v>320</v>
      </c>
    </row>
    <row r="10" spans="2:98" ht="15.95">
      <c r="B10" s="35"/>
      <c r="E10" t="s">
        <v>12</v>
      </c>
      <c r="F10" s="13">
        <v>2.5</v>
      </c>
      <c r="G10" s="13">
        <v>0</v>
      </c>
      <c r="H10" s="13">
        <v>0</v>
      </c>
      <c r="I10" s="13">
        <v>0</v>
      </c>
      <c r="J10" s="13">
        <v>3.5</v>
      </c>
      <c r="K10" s="13">
        <v>0</v>
      </c>
      <c r="L10" s="13">
        <v>0</v>
      </c>
      <c r="M10" s="13">
        <v>0</v>
      </c>
      <c r="N10">
        <v>6</v>
      </c>
      <c r="P10" t="s">
        <v>12</v>
      </c>
      <c r="Q10" s="15">
        <f t="shared" si="6"/>
        <v>3.4246575342465752E-2</v>
      </c>
      <c r="R10" s="15">
        <f t="shared" si="5"/>
        <v>0</v>
      </c>
      <c r="S10" s="15">
        <f t="shared" si="5"/>
        <v>0</v>
      </c>
      <c r="T10" s="15">
        <f t="shared" si="5"/>
        <v>0</v>
      </c>
      <c r="U10" s="15">
        <f t="shared" si="5"/>
        <v>4.7945205479452052E-2</v>
      </c>
      <c r="V10" s="15">
        <f t="shared" si="5"/>
        <v>0</v>
      </c>
      <c r="W10" s="15">
        <f t="shared" si="5"/>
        <v>0</v>
      </c>
      <c r="X10" s="15">
        <f t="shared" si="5"/>
        <v>0</v>
      </c>
      <c r="Y10" s="15">
        <f t="shared" si="5"/>
        <v>8.2191780821917804E-2</v>
      </c>
      <c r="AA10" t="s">
        <v>358</v>
      </c>
      <c r="AB10" t="s">
        <v>286</v>
      </c>
      <c r="AC10" s="16">
        <f>Q4</f>
        <v>8.2352941176470587E-2</v>
      </c>
      <c r="AD10" s="16"/>
      <c r="AE10" s="16"/>
      <c r="AF10" s="16"/>
      <c r="AG10" s="32" t="s">
        <v>359</v>
      </c>
      <c r="AH10" t="s">
        <v>286</v>
      </c>
      <c r="AI10">
        <f>U9/2</f>
        <v>1.0273972602739725E-2</v>
      </c>
      <c r="AM10" s="32" t="s">
        <v>360</v>
      </c>
      <c r="AN10" t="s">
        <v>286</v>
      </c>
      <c r="AO10">
        <f>U15/2</f>
        <v>0.28139534883720929</v>
      </c>
      <c r="AT10">
        <f>142+125</f>
        <v>267</v>
      </c>
      <c r="AV10" s="20" t="s">
        <v>320</v>
      </c>
      <c r="AW10" s="26"/>
      <c r="AX10" s="25"/>
      <c r="AY10" s="24">
        <f>AR4</f>
        <v>1.5</v>
      </c>
      <c r="AZ10" s="20"/>
      <c r="BA10" s="30"/>
      <c r="BB10" s="25"/>
      <c r="BC10" s="25"/>
      <c r="BD10" s="25"/>
      <c r="BE10" s="25"/>
      <c r="BF10" s="25"/>
      <c r="BG10" s="25">
        <v>1.75</v>
      </c>
      <c r="BO10" s="32" t="s">
        <v>336</v>
      </c>
      <c r="BP10" t="s">
        <v>286</v>
      </c>
      <c r="BR10" t="s">
        <v>322</v>
      </c>
      <c r="BS10" t="s">
        <v>286</v>
      </c>
      <c r="BU10" t="s">
        <v>349</v>
      </c>
      <c r="BV10" t="s">
        <v>286</v>
      </c>
      <c r="BY10" s="44"/>
      <c r="CA10" t="s">
        <v>339</v>
      </c>
      <c r="CB10" t="s">
        <v>361</v>
      </c>
      <c r="CE10" t="s">
        <v>313</v>
      </c>
      <c r="CF10" s="38" t="s">
        <v>283</v>
      </c>
      <c r="CJ10" t="s">
        <v>351</v>
      </c>
      <c r="CK10" t="s">
        <v>362</v>
      </c>
    </row>
    <row r="11" spans="2:98" ht="15.95">
      <c r="B11" s="35"/>
      <c r="N11">
        <v>73</v>
      </c>
      <c r="Q11" s="15"/>
      <c r="Y11" s="16">
        <f t="shared" ref="Y11" si="7">SUM(Y8,Y9,Y10)</f>
        <v>1</v>
      </c>
      <c r="AA11" t="s">
        <v>363</v>
      </c>
      <c r="AB11" t="s">
        <v>286</v>
      </c>
      <c r="AC11" s="16">
        <f>S4</f>
        <v>5.8823529411764705E-3</v>
      </c>
      <c r="AD11" s="16"/>
      <c r="AE11" s="16"/>
      <c r="AF11" s="16"/>
      <c r="AG11" s="32" t="s">
        <v>359</v>
      </c>
      <c r="AH11" t="s">
        <v>286</v>
      </c>
      <c r="AI11">
        <f>U9/2</f>
        <v>1.0273972602739725E-2</v>
      </c>
      <c r="AM11" s="32" t="s">
        <v>360</v>
      </c>
      <c r="AN11" t="s">
        <v>286</v>
      </c>
      <c r="AO11">
        <f>U15/2</f>
        <v>0.28139534883720929</v>
      </c>
      <c r="AV11" s="20" t="s">
        <v>314</v>
      </c>
      <c r="AW11" s="26"/>
      <c r="AX11" s="25"/>
      <c r="AY11" s="24"/>
      <c r="AZ11" s="20">
        <f>AF19</f>
        <v>3.8</v>
      </c>
      <c r="BA11" s="30"/>
      <c r="BB11" s="25"/>
      <c r="BC11" s="25"/>
      <c r="BD11" s="25"/>
      <c r="BE11" s="25"/>
      <c r="BF11" s="25"/>
      <c r="BG11" s="25"/>
      <c r="BO11" s="32" t="s">
        <v>292</v>
      </c>
      <c r="BP11" t="s">
        <v>312</v>
      </c>
      <c r="BR11" t="s">
        <v>308</v>
      </c>
      <c r="BS11" t="s">
        <v>364</v>
      </c>
      <c r="BU11" t="s">
        <v>349</v>
      </c>
      <c r="BV11" t="s">
        <v>286</v>
      </c>
      <c r="BY11" s="44"/>
      <c r="CA11" t="s">
        <v>339</v>
      </c>
      <c r="CB11" t="s">
        <v>286</v>
      </c>
      <c r="CE11" t="s">
        <v>313</v>
      </c>
      <c r="CF11" t="s">
        <v>293</v>
      </c>
      <c r="CJ11" t="s">
        <v>365</v>
      </c>
      <c r="CK11" t="s">
        <v>321</v>
      </c>
    </row>
    <row r="12" spans="2:98" ht="15.95">
      <c r="B12" s="35"/>
      <c r="D12" t="s">
        <v>26</v>
      </c>
      <c r="E12" s="13" t="s">
        <v>96</v>
      </c>
      <c r="F12" t="s">
        <v>25</v>
      </c>
      <c r="G12" s="13" t="s">
        <v>14</v>
      </c>
      <c r="H12" t="s">
        <v>4</v>
      </c>
      <c r="I12" s="13" t="s">
        <v>5</v>
      </c>
      <c r="J12" s="13" t="s">
        <v>6</v>
      </c>
      <c r="K12" s="13" t="s">
        <v>7</v>
      </c>
      <c r="L12" s="13" t="s">
        <v>8</v>
      </c>
      <c r="M12" t="s">
        <v>9</v>
      </c>
      <c r="O12" t="s">
        <v>341</v>
      </c>
      <c r="P12" s="13" t="s">
        <v>96</v>
      </c>
      <c r="Q12" t="s">
        <v>25</v>
      </c>
      <c r="R12" s="13" t="s">
        <v>14</v>
      </c>
      <c r="S12" t="s">
        <v>4</v>
      </c>
      <c r="T12" s="13" t="s">
        <v>5</v>
      </c>
      <c r="U12" s="13" t="s">
        <v>6</v>
      </c>
      <c r="V12" s="13" t="s">
        <v>7</v>
      </c>
      <c r="W12" s="13" t="s">
        <v>8</v>
      </c>
      <c r="X12" t="s">
        <v>9</v>
      </c>
      <c r="AC12" s="16">
        <f>SUM(AC2:AC11)</f>
        <v>0.83529411764705874</v>
      </c>
      <c r="AD12" s="16"/>
      <c r="AE12" s="16"/>
      <c r="AF12" s="16"/>
      <c r="AG12" s="32" t="s">
        <v>360</v>
      </c>
      <c r="AH12" t="s">
        <v>312</v>
      </c>
      <c r="AI12" s="16">
        <f>U10</f>
        <v>4.7945205479452052E-2</v>
      </c>
      <c r="AM12" s="32" t="s">
        <v>359</v>
      </c>
      <c r="AN12" t="s">
        <v>366</v>
      </c>
      <c r="AO12" s="16">
        <f>U14</f>
        <v>9.3023255813953487E-3</v>
      </c>
      <c r="AV12" s="20" t="s">
        <v>283</v>
      </c>
      <c r="AW12" s="26">
        <v>16.329999999999998</v>
      </c>
      <c r="AX12" s="25"/>
      <c r="AY12" s="24"/>
      <c r="AZ12" s="20"/>
      <c r="BA12" s="30">
        <f>AL20</f>
        <v>32.200000000000003</v>
      </c>
      <c r="BB12" s="25">
        <f>AR20</f>
        <v>10</v>
      </c>
      <c r="BC12" s="25"/>
      <c r="BD12" s="25">
        <v>3</v>
      </c>
      <c r="BE12" s="25"/>
      <c r="BF12" s="25">
        <v>10</v>
      </c>
      <c r="BG12" s="25"/>
      <c r="BO12" s="32" t="s">
        <v>336</v>
      </c>
      <c r="BP12" t="s">
        <v>296</v>
      </c>
      <c r="BU12" t="s">
        <v>349</v>
      </c>
      <c r="BV12" t="s">
        <v>367</v>
      </c>
      <c r="BY12" s="44"/>
      <c r="CA12" t="s">
        <v>344</v>
      </c>
      <c r="CB12" t="s">
        <v>286</v>
      </c>
      <c r="CE12" t="s">
        <v>313</v>
      </c>
      <c r="CF12" s="38" t="s">
        <v>368</v>
      </c>
      <c r="CJ12" t="s">
        <v>365</v>
      </c>
      <c r="CK12" t="s">
        <v>369</v>
      </c>
    </row>
    <row r="13" spans="2:98" ht="15.95">
      <c r="B13" s="35"/>
      <c r="E13" s="13" t="s">
        <v>10</v>
      </c>
      <c r="F13" s="13">
        <v>18</v>
      </c>
      <c r="G13" s="13">
        <v>2</v>
      </c>
      <c r="H13" s="13">
        <v>0</v>
      </c>
      <c r="I13" s="13">
        <v>2</v>
      </c>
      <c r="J13" s="13">
        <v>1.5</v>
      </c>
      <c r="K13" s="13">
        <v>0</v>
      </c>
      <c r="L13" s="13">
        <v>0</v>
      </c>
      <c r="M13" s="18">
        <v>0.5</v>
      </c>
      <c r="N13">
        <v>24</v>
      </c>
      <c r="P13" s="13" t="s">
        <v>10</v>
      </c>
      <c r="Q13" s="15">
        <f>F13/$N$16</f>
        <v>0.16744186046511628</v>
      </c>
      <c r="R13" s="15">
        <f t="shared" ref="R13:Y15" si="8">G13/$N$16</f>
        <v>1.8604651162790697E-2</v>
      </c>
      <c r="S13" s="15">
        <f t="shared" si="8"/>
        <v>0</v>
      </c>
      <c r="T13" s="15">
        <f t="shared" si="8"/>
        <v>1.8604651162790697E-2</v>
      </c>
      <c r="U13" s="15">
        <f t="shared" si="8"/>
        <v>1.3953488372093023E-2</v>
      </c>
      <c r="V13" s="15">
        <f t="shared" si="8"/>
        <v>0</v>
      </c>
      <c r="W13" s="15">
        <f t="shared" si="8"/>
        <v>0</v>
      </c>
      <c r="X13" s="15">
        <f t="shared" si="8"/>
        <v>4.6511627906976744E-3</v>
      </c>
      <c r="Y13" s="15">
        <f t="shared" si="8"/>
        <v>0.22325581395348837</v>
      </c>
      <c r="AG13" s="32" t="s">
        <v>319</v>
      </c>
      <c r="AH13" t="s">
        <v>329</v>
      </c>
      <c r="AO13">
        <f>SUM(AO2:AO12)</f>
        <v>0.99534883720930234</v>
      </c>
      <c r="AV13" s="20" t="s">
        <v>328</v>
      </c>
      <c r="AW13" s="26"/>
      <c r="AX13" s="25">
        <f>AL4</f>
        <v>6.75</v>
      </c>
      <c r="AY13" s="24"/>
      <c r="AZ13" s="20"/>
      <c r="BA13" s="30"/>
      <c r="BB13" s="25"/>
      <c r="BC13" s="25"/>
      <c r="BD13" s="25"/>
      <c r="BE13" s="25"/>
      <c r="BF13" s="25"/>
      <c r="BG13" s="25">
        <v>2.75</v>
      </c>
      <c r="BO13" s="32" t="s">
        <v>336</v>
      </c>
      <c r="BP13" t="s">
        <v>286</v>
      </c>
      <c r="BU13" t="s">
        <v>349</v>
      </c>
      <c r="BV13" t="s">
        <v>286</v>
      </c>
      <c r="BY13" s="44"/>
      <c r="CA13" t="s">
        <v>344</v>
      </c>
      <c r="CB13" t="s">
        <v>286</v>
      </c>
    </row>
    <row r="14" spans="2:98" ht="15.95">
      <c r="B14" s="35"/>
      <c r="E14" s="13" t="s">
        <v>11</v>
      </c>
      <c r="F14" s="13">
        <v>5.5</v>
      </c>
      <c r="G14" s="13">
        <v>0</v>
      </c>
      <c r="H14" s="13">
        <v>0</v>
      </c>
      <c r="I14" s="13">
        <v>0</v>
      </c>
      <c r="J14" s="13">
        <v>1</v>
      </c>
      <c r="K14" s="13">
        <v>0</v>
      </c>
      <c r="L14" s="13">
        <v>0</v>
      </c>
      <c r="M14" s="13">
        <v>0</v>
      </c>
      <c r="N14">
        <v>6.5</v>
      </c>
      <c r="P14" s="13" t="s">
        <v>11</v>
      </c>
      <c r="Q14" s="15">
        <f t="shared" ref="Q14:Q15" si="9">F14/$N$16</f>
        <v>5.1162790697674418E-2</v>
      </c>
      <c r="R14" s="15">
        <f t="shared" si="8"/>
        <v>0</v>
      </c>
      <c r="S14" s="15">
        <f t="shared" si="8"/>
        <v>0</v>
      </c>
      <c r="T14" s="15">
        <f t="shared" si="8"/>
        <v>0</v>
      </c>
      <c r="U14" s="15">
        <f t="shared" si="8"/>
        <v>9.3023255813953487E-3</v>
      </c>
      <c r="V14" s="15">
        <f t="shared" si="8"/>
        <v>0</v>
      </c>
      <c r="W14" s="15">
        <f t="shared" si="8"/>
        <v>0</v>
      </c>
      <c r="X14" s="15">
        <f t="shared" si="8"/>
        <v>0</v>
      </c>
      <c r="Y14" s="15">
        <f t="shared" si="8"/>
        <v>6.0465116279069767E-2</v>
      </c>
      <c r="AG14" s="32" t="s">
        <v>370</v>
      </c>
      <c r="AH14" t="s">
        <v>286</v>
      </c>
      <c r="AI14" s="16">
        <f>Q10</f>
        <v>3.4246575342465752E-2</v>
      </c>
      <c r="AV14" s="20" t="s">
        <v>371</v>
      </c>
      <c r="AW14" s="26"/>
      <c r="AX14" s="25"/>
      <c r="AY14" s="24"/>
      <c r="AZ14" s="20"/>
      <c r="BA14" s="30"/>
      <c r="BB14" s="25"/>
      <c r="BC14" s="25"/>
      <c r="BD14" s="25"/>
      <c r="BE14" s="25"/>
      <c r="BF14" s="25"/>
      <c r="BG14" s="25"/>
      <c r="BO14" s="32" t="s">
        <v>336</v>
      </c>
      <c r="BP14" t="s">
        <v>286</v>
      </c>
      <c r="BU14" s="32" t="s">
        <v>323</v>
      </c>
      <c r="BV14" t="s">
        <v>286</v>
      </c>
      <c r="BY14" s="44"/>
      <c r="CA14" t="s">
        <v>344</v>
      </c>
      <c r="CB14" t="s">
        <v>286</v>
      </c>
    </row>
    <row r="15" spans="2:98" ht="15.95">
      <c r="B15" s="35"/>
      <c r="E15" t="s">
        <v>12</v>
      </c>
      <c r="F15" s="13">
        <v>16.5</v>
      </c>
      <c r="G15" s="13">
        <v>0</v>
      </c>
      <c r="H15" s="13">
        <v>0</v>
      </c>
      <c r="I15" s="13">
        <v>0</v>
      </c>
      <c r="J15" s="13">
        <v>60.5</v>
      </c>
      <c r="K15" s="13">
        <v>0</v>
      </c>
      <c r="L15" s="13">
        <v>0</v>
      </c>
      <c r="M15" s="13">
        <v>0</v>
      </c>
      <c r="N15">
        <v>77</v>
      </c>
      <c r="P15" t="s">
        <v>12</v>
      </c>
      <c r="Q15" s="15">
        <f t="shared" si="9"/>
        <v>0.15348837209302327</v>
      </c>
      <c r="R15" s="15">
        <f t="shared" si="8"/>
        <v>0</v>
      </c>
      <c r="S15" s="15">
        <f t="shared" si="8"/>
        <v>0</v>
      </c>
      <c r="T15" s="15">
        <f t="shared" si="8"/>
        <v>0</v>
      </c>
      <c r="U15" s="15">
        <f t="shared" si="8"/>
        <v>0.56279069767441858</v>
      </c>
      <c r="V15" s="15">
        <f t="shared" si="8"/>
        <v>0</v>
      </c>
      <c r="W15" s="15">
        <f t="shared" si="8"/>
        <v>0</v>
      </c>
      <c r="X15" s="15">
        <f t="shared" si="8"/>
        <v>0</v>
      </c>
      <c r="Y15" s="15">
        <f t="shared" si="8"/>
        <v>0.71627906976744182</v>
      </c>
      <c r="AI15">
        <f>SUM(AI2:AI14)</f>
        <v>0.98630136986301375</v>
      </c>
      <c r="AV15" s="20" t="s">
        <v>372</v>
      </c>
      <c r="AW15" s="26"/>
      <c r="AX15" s="25"/>
      <c r="AY15" s="24"/>
      <c r="AZ15" s="20"/>
      <c r="BA15" s="30"/>
      <c r="BB15" s="25"/>
      <c r="BC15" s="25"/>
      <c r="BD15" s="25"/>
      <c r="BE15" s="25"/>
      <c r="BF15" s="25"/>
      <c r="BG15" s="25"/>
      <c r="BO15" s="32" t="s">
        <v>292</v>
      </c>
      <c r="BP15" t="s">
        <v>286</v>
      </c>
      <c r="BU15" s="32" t="s">
        <v>323</v>
      </c>
      <c r="BV15" t="s">
        <v>286</v>
      </c>
      <c r="BY15" s="44"/>
      <c r="CA15" t="s">
        <v>344</v>
      </c>
      <c r="CB15" t="s">
        <v>286</v>
      </c>
    </row>
    <row r="16" spans="2:98">
      <c r="B16" s="35"/>
      <c r="N16">
        <v>107.5</v>
      </c>
      <c r="Y16" s="16">
        <f t="shared" ref="Y16" si="10">SUM(Y13,Y14,Y15)</f>
        <v>1</v>
      </c>
      <c r="AV16" s="20" t="s">
        <v>373</v>
      </c>
      <c r="AW16" s="26"/>
      <c r="AX16" s="25"/>
      <c r="AY16" s="24"/>
      <c r="AZ16" s="20"/>
      <c r="BA16" s="30"/>
      <c r="BB16" s="25">
        <f>AR21</f>
        <v>9.8333333333333339</v>
      </c>
      <c r="BC16" s="25"/>
      <c r="BD16" s="25"/>
      <c r="BE16" s="25"/>
      <c r="BF16" s="25"/>
      <c r="BG16" s="25"/>
      <c r="BO16" s="32"/>
      <c r="BU16" s="32" t="s">
        <v>323</v>
      </c>
      <c r="BV16" t="s">
        <v>320</v>
      </c>
      <c r="BY16" s="44"/>
      <c r="CA16" t="s">
        <v>374</v>
      </c>
      <c r="CB16" t="s">
        <v>286</v>
      </c>
      <c r="CE16" s="1" t="s">
        <v>375</v>
      </c>
      <c r="CF16" s="38" t="s">
        <v>376</v>
      </c>
      <c r="CJ16" t="s">
        <v>377</v>
      </c>
      <c r="CK16" s="38" t="s">
        <v>283</v>
      </c>
    </row>
    <row r="17" spans="2:89" ht="15.95">
      <c r="B17" s="35"/>
      <c r="D17" t="s">
        <v>26</v>
      </c>
      <c r="E17" s="13" t="s">
        <v>97</v>
      </c>
      <c r="F17" t="s">
        <v>25</v>
      </c>
      <c r="G17" s="13" t="s">
        <v>14</v>
      </c>
      <c r="H17" t="s">
        <v>4</v>
      </c>
      <c r="I17" s="13" t="s">
        <v>5</v>
      </c>
      <c r="J17" s="13" t="s">
        <v>6</v>
      </c>
      <c r="K17" s="13" t="s">
        <v>7</v>
      </c>
      <c r="L17" s="13" t="s">
        <v>8</v>
      </c>
      <c r="M17" t="s">
        <v>9</v>
      </c>
      <c r="O17" t="s">
        <v>341</v>
      </c>
      <c r="P17" s="13" t="s">
        <v>97</v>
      </c>
      <c r="Q17" t="s">
        <v>25</v>
      </c>
      <c r="R17" s="13" t="s">
        <v>14</v>
      </c>
      <c r="S17" t="s">
        <v>4</v>
      </c>
      <c r="T17" s="13" t="s">
        <v>5</v>
      </c>
      <c r="U17" s="13" t="s">
        <v>6</v>
      </c>
      <c r="V17" s="13" t="s">
        <v>7</v>
      </c>
      <c r="W17" s="13" t="s">
        <v>8</v>
      </c>
      <c r="X17" t="s">
        <v>9</v>
      </c>
      <c r="AA17">
        <v>11</v>
      </c>
      <c r="AB17" t="s">
        <v>298</v>
      </c>
      <c r="AC17" t="s">
        <v>274</v>
      </c>
      <c r="AF17" t="s">
        <v>275</v>
      </c>
      <c r="AG17" s="32">
        <v>12</v>
      </c>
      <c r="AH17" t="s">
        <v>299</v>
      </c>
      <c r="AI17" t="s">
        <v>274</v>
      </c>
      <c r="AL17" t="s">
        <v>275</v>
      </c>
      <c r="AM17" s="32">
        <v>10</v>
      </c>
      <c r="AN17" t="s">
        <v>300</v>
      </c>
      <c r="AO17" t="s">
        <v>274</v>
      </c>
      <c r="AR17" t="s">
        <v>275</v>
      </c>
      <c r="AV17" s="20" t="s">
        <v>312</v>
      </c>
      <c r="AW17" s="26">
        <v>5</v>
      </c>
      <c r="AX17" s="25">
        <f>AL5</f>
        <v>3.5</v>
      </c>
      <c r="AY17" s="24"/>
      <c r="AZ17" s="20"/>
      <c r="BA17" s="30">
        <f>AL22</f>
        <v>0.4</v>
      </c>
      <c r="BB17" s="25">
        <f>AR22</f>
        <v>4.333333333333333</v>
      </c>
      <c r="BC17" s="25">
        <v>20.67</v>
      </c>
      <c r="BD17" s="25"/>
      <c r="BE17" s="25"/>
      <c r="BF17" s="25"/>
      <c r="BG17" s="25">
        <v>3.75</v>
      </c>
      <c r="BO17" s="32"/>
      <c r="BU17" s="32" t="s">
        <v>282</v>
      </c>
      <c r="BV17" t="s">
        <v>283</v>
      </c>
      <c r="BY17" s="44"/>
      <c r="CA17" t="s">
        <v>378</v>
      </c>
      <c r="CB17" t="s">
        <v>286</v>
      </c>
      <c r="CE17" t="s">
        <v>375</v>
      </c>
      <c r="CF17" t="s">
        <v>379</v>
      </c>
      <c r="CJ17" t="s">
        <v>377</v>
      </c>
      <c r="CK17" t="s">
        <v>380</v>
      </c>
    </row>
    <row r="18" spans="2:89" ht="15.95">
      <c r="B18" s="35"/>
      <c r="E18" s="13" t="s">
        <v>10</v>
      </c>
      <c r="F18" s="13">
        <v>25.6</v>
      </c>
      <c r="G18" s="13">
        <v>2.6</v>
      </c>
      <c r="H18" s="18">
        <v>0.2</v>
      </c>
      <c r="I18" s="18">
        <v>0.8</v>
      </c>
      <c r="J18" s="13">
        <v>1</v>
      </c>
      <c r="K18" s="13">
        <v>0</v>
      </c>
      <c r="L18" s="18">
        <v>1</v>
      </c>
      <c r="M18" s="13">
        <v>0</v>
      </c>
      <c r="N18">
        <v>31.200000000000003</v>
      </c>
      <c r="P18" s="13" t="s">
        <v>10</v>
      </c>
      <c r="Q18" s="15">
        <f>F18/$N$21</f>
        <v>0.55652173913043479</v>
      </c>
      <c r="R18" s="15">
        <f t="shared" ref="R18:Y20" si="11">G18/$N$21</f>
        <v>5.6521739130434782E-2</v>
      </c>
      <c r="S18" s="15">
        <f t="shared" si="11"/>
        <v>4.3478260869565218E-3</v>
      </c>
      <c r="T18" s="15">
        <f t="shared" si="11"/>
        <v>1.7391304347826087E-2</v>
      </c>
      <c r="U18" s="15">
        <f t="shared" si="11"/>
        <v>2.1739130434782608E-2</v>
      </c>
      <c r="V18" s="15">
        <f t="shared" si="11"/>
        <v>0</v>
      </c>
      <c r="W18" s="15">
        <f t="shared" si="11"/>
        <v>2.1739130434782608E-2</v>
      </c>
      <c r="X18" s="15">
        <f t="shared" si="11"/>
        <v>0</v>
      </c>
      <c r="Y18" s="15">
        <f t="shared" si="11"/>
        <v>0.67826086956521747</v>
      </c>
      <c r="AA18" t="s">
        <v>316</v>
      </c>
      <c r="AB18" t="s">
        <v>293</v>
      </c>
      <c r="AC18">
        <f>Q18/3</f>
        <v>0.1855072463768116</v>
      </c>
      <c r="AD18" t="s">
        <v>286</v>
      </c>
      <c r="AE18" s="16">
        <f>AC19+AC20+AC21+AC22+AC25+AC24</f>
        <v>0.60579710144927534</v>
      </c>
      <c r="AF18">
        <f>AE18*$N$21</f>
        <v>27.866666666666667</v>
      </c>
      <c r="AG18" s="32" t="s">
        <v>316</v>
      </c>
      <c r="AH18" t="s">
        <v>343</v>
      </c>
      <c r="AI18" s="27">
        <f>Q23/3</f>
        <v>0.19868995633187772</v>
      </c>
      <c r="AJ18" s="27" t="s">
        <v>286</v>
      </c>
      <c r="AK18" s="27">
        <f>AI23+AI24+AI28</f>
        <v>0.18995633187772923</v>
      </c>
      <c r="AL18">
        <f>AK18*$N$26</f>
        <v>17.399999999999999</v>
      </c>
      <c r="AM18" s="32" t="s">
        <v>316</v>
      </c>
      <c r="AN18" t="s">
        <v>381</v>
      </c>
      <c r="AO18">
        <f>Q28/3</f>
        <v>0.112094395280236</v>
      </c>
      <c r="AP18" t="s">
        <v>286</v>
      </c>
      <c r="AQ18" s="16">
        <f>AO19+AO20+AO24+AO25+AO26</f>
        <v>0.39896755162241893</v>
      </c>
      <c r="AR18">
        <f>AQ18*$N$31</f>
        <v>30.055555555555557</v>
      </c>
      <c r="AV18" s="23" t="s">
        <v>382</v>
      </c>
      <c r="AW18" s="24"/>
      <c r="AX18" s="25"/>
      <c r="AY18" s="24"/>
      <c r="AZ18" s="20"/>
      <c r="BA18" s="30"/>
      <c r="BB18" s="25"/>
      <c r="BC18" s="25"/>
      <c r="BD18" s="25"/>
      <c r="BE18" s="25"/>
      <c r="BF18" s="25"/>
      <c r="BG18" s="25"/>
      <c r="BO18" s="45">
        <v>30</v>
      </c>
      <c r="BS18" s="2">
        <v>16</v>
      </c>
      <c r="BW18" s="2">
        <v>11</v>
      </c>
      <c r="BY18" s="44"/>
      <c r="CA18" t="s">
        <v>383</v>
      </c>
      <c r="CB18" t="s">
        <v>286</v>
      </c>
      <c r="CE18" t="s">
        <v>375</v>
      </c>
      <c r="CF18" t="s">
        <v>317</v>
      </c>
      <c r="CJ18" t="s">
        <v>377</v>
      </c>
      <c r="CK18" t="s">
        <v>343</v>
      </c>
    </row>
    <row r="19" spans="2:89" ht="15.95">
      <c r="B19" s="35"/>
      <c r="E19" s="13" t="s">
        <v>11</v>
      </c>
      <c r="F19" s="13">
        <v>6.4</v>
      </c>
      <c r="G19" s="13">
        <v>1.2</v>
      </c>
      <c r="H19" s="13">
        <v>0</v>
      </c>
      <c r="I19" s="18">
        <v>0.2</v>
      </c>
      <c r="J19" s="13">
        <v>1.2</v>
      </c>
      <c r="K19" s="13">
        <v>0</v>
      </c>
      <c r="L19" s="13">
        <v>0</v>
      </c>
      <c r="M19" s="13">
        <v>0</v>
      </c>
      <c r="N19">
        <v>9</v>
      </c>
      <c r="P19" s="13" t="s">
        <v>11</v>
      </c>
      <c r="Q19" s="15">
        <f t="shared" ref="Q19:Q20" si="12">F19/$N$21</f>
        <v>0.1391304347826087</v>
      </c>
      <c r="R19" s="15">
        <f t="shared" si="11"/>
        <v>2.6086956521739129E-2</v>
      </c>
      <c r="S19" s="15">
        <f t="shared" si="11"/>
        <v>0</v>
      </c>
      <c r="T19" s="15">
        <f t="shared" si="11"/>
        <v>4.3478260869565218E-3</v>
      </c>
      <c r="U19" s="15">
        <f t="shared" si="11"/>
        <v>2.6086956521739129E-2</v>
      </c>
      <c r="V19" s="15">
        <f t="shared" si="11"/>
        <v>0</v>
      </c>
      <c r="W19" s="15">
        <f t="shared" si="11"/>
        <v>0</v>
      </c>
      <c r="X19" s="15">
        <f t="shared" si="11"/>
        <v>0</v>
      </c>
      <c r="Y19" s="15">
        <f t="shared" si="11"/>
        <v>0.19565217391304349</v>
      </c>
      <c r="AA19" t="s">
        <v>316</v>
      </c>
      <c r="AB19" t="s">
        <v>286</v>
      </c>
      <c r="AC19">
        <f>Q18/3</f>
        <v>0.1855072463768116</v>
      </c>
      <c r="AD19" t="s">
        <v>314</v>
      </c>
      <c r="AE19" s="16">
        <f>AC23+AC26</f>
        <v>8.2608695652173908E-2</v>
      </c>
      <c r="AF19">
        <f t="shared" ref="AF19:AF20" si="13">AE19*$N$21</f>
        <v>3.8</v>
      </c>
      <c r="AG19" s="32" t="s">
        <v>316</v>
      </c>
      <c r="AH19" t="s">
        <v>283</v>
      </c>
      <c r="AI19" s="27">
        <f>Q23/3</f>
        <v>0.19868995633187772</v>
      </c>
      <c r="AJ19" s="27" t="s">
        <v>343</v>
      </c>
      <c r="AK19" s="27">
        <f>AI18+AI22</f>
        <v>0.21397379912663755</v>
      </c>
      <c r="AL19">
        <f t="shared" ref="AL19:AL23" si="14">AK19*$N$26</f>
        <v>19.600000000000001</v>
      </c>
      <c r="AM19" s="32" t="s">
        <v>316</v>
      </c>
      <c r="AN19" t="s">
        <v>286</v>
      </c>
      <c r="AO19">
        <f>Q28/3</f>
        <v>0.112094395280236</v>
      </c>
      <c r="AP19" t="s">
        <v>384</v>
      </c>
      <c r="AQ19" s="16">
        <f>AO21</f>
        <v>0.14601769911504425</v>
      </c>
      <c r="AR19">
        <f t="shared" ref="AR19:AR23" si="15">AQ19*$N$31</f>
        <v>11</v>
      </c>
      <c r="AV19" s="20" t="s">
        <v>381</v>
      </c>
      <c r="AW19" s="24"/>
      <c r="AX19" s="25"/>
      <c r="AY19" s="24"/>
      <c r="AZ19" s="20"/>
      <c r="BA19" s="30"/>
      <c r="BB19" s="25">
        <f>AR23</f>
        <v>8.4444444444444446</v>
      </c>
      <c r="BC19" s="25"/>
      <c r="BD19" s="25"/>
      <c r="BE19" s="25"/>
      <c r="BF19" s="25"/>
      <c r="BG19" s="25">
        <v>6.5</v>
      </c>
      <c r="BO19" s="32" t="s">
        <v>316</v>
      </c>
      <c r="BP19" t="s">
        <v>317</v>
      </c>
      <c r="BS19" s="32" t="s">
        <v>358</v>
      </c>
      <c r="BT19" t="s">
        <v>286</v>
      </c>
      <c r="BW19" s="32" t="s">
        <v>354</v>
      </c>
      <c r="BX19" t="s">
        <v>286</v>
      </c>
      <c r="BY19" s="44"/>
      <c r="CA19" t="s">
        <v>385</v>
      </c>
      <c r="CB19" t="s">
        <v>314</v>
      </c>
      <c r="CE19" t="s">
        <v>386</v>
      </c>
      <c r="CF19" t="s">
        <v>343</v>
      </c>
      <c r="CJ19" t="s">
        <v>377</v>
      </c>
      <c r="CK19" t="s">
        <v>387</v>
      </c>
    </row>
    <row r="20" spans="2:89" ht="15.95">
      <c r="B20" s="35"/>
      <c r="E20" t="s">
        <v>12</v>
      </c>
      <c r="F20" s="13">
        <v>2.2000000000000002</v>
      </c>
      <c r="G20" s="13">
        <v>0</v>
      </c>
      <c r="H20" s="13">
        <v>0</v>
      </c>
      <c r="I20" s="13">
        <v>0</v>
      </c>
      <c r="J20" s="18">
        <v>3.6</v>
      </c>
      <c r="K20" s="13">
        <v>0</v>
      </c>
      <c r="L20" s="13">
        <v>0</v>
      </c>
      <c r="M20" s="13">
        <v>0</v>
      </c>
      <c r="N20">
        <v>5.8000000000000007</v>
      </c>
      <c r="P20" t="s">
        <v>12</v>
      </c>
      <c r="Q20" s="15">
        <f t="shared" si="12"/>
        <v>4.7826086956521741E-2</v>
      </c>
      <c r="R20" s="15">
        <f t="shared" si="11"/>
        <v>0</v>
      </c>
      <c r="S20" s="15">
        <f t="shared" si="11"/>
        <v>0</v>
      </c>
      <c r="T20" s="15">
        <f t="shared" si="11"/>
        <v>0</v>
      </c>
      <c r="U20" s="15">
        <f t="shared" si="11"/>
        <v>7.8260869565217397E-2</v>
      </c>
      <c r="V20" s="15">
        <f t="shared" si="11"/>
        <v>0</v>
      </c>
      <c r="W20" s="15">
        <f t="shared" si="11"/>
        <v>0</v>
      </c>
      <c r="X20" s="15">
        <f t="shared" si="11"/>
        <v>0</v>
      </c>
      <c r="Y20" s="15">
        <f t="shared" si="11"/>
        <v>0.12608695652173915</v>
      </c>
      <c r="AA20" t="s">
        <v>316</v>
      </c>
      <c r="AB20" t="s">
        <v>286</v>
      </c>
      <c r="AC20">
        <f>Q18/3</f>
        <v>0.1855072463768116</v>
      </c>
      <c r="AD20" t="s">
        <v>293</v>
      </c>
      <c r="AE20">
        <f>AC18</f>
        <v>0.1855072463768116</v>
      </c>
      <c r="AF20">
        <f t="shared" si="13"/>
        <v>8.5333333333333332</v>
      </c>
      <c r="AG20" s="32" t="s">
        <v>316</v>
      </c>
      <c r="AH20" t="s">
        <v>388</v>
      </c>
      <c r="AI20" s="27">
        <f>Q23/3</f>
        <v>0.19868995633187772</v>
      </c>
      <c r="AJ20" s="27" t="s">
        <v>284</v>
      </c>
      <c r="AK20" s="27">
        <f>AI19+AI21+AI25</f>
        <v>0.35152838427947597</v>
      </c>
      <c r="AL20">
        <f>AK20*$N$26</f>
        <v>32.200000000000003</v>
      </c>
      <c r="AM20" s="32" t="s">
        <v>316</v>
      </c>
      <c r="AN20" t="s">
        <v>286</v>
      </c>
      <c r="AO20">
        <f>Q28/3</f>
        <v>0.112094395280236</v>
      </c>
      <c r="AP20" t="s">
        <v>284</v>
      </c>
      <c r="AQ20" s="16">
        <f>AO22</f>
        <v>0.13274336283185842</v>
      </c>
      <c r="AR20">
        <f t="shared" si="15"/>
        <v>10</v>
      </c>
      <c r="AV20" s="20" t="s">
        <v>389</v>
      </c>
      <c r="AW20" s="24"/>
      <c r="AX20" s="25"/>
      <c r="AY20" s="24"/>
      <c r="AZ20" s="25"/>
      <c r="BA20" s="30"/>
      <c r="BB20" s="25"/>
      <c r="BC20" s="25"/>
      <c r="BD20" s="25"/>
      <c r="BE20" s="25"/>
      <c r="BF20" s="25"/>
      <c r="BG20" s="25"/>
      <c r="BO20" s="32" t="s">
        <v>316</v>
      </c>
      <c r="BP20" t="s">
        <v>283</v>
      </c>
      <c r="BS20" s="32" t="s">
        <v>358</v>
      </c>
      <c r="BT20" t="s">
        <v>286</v>
      </c>
      <c r="BW20" s="32" t="s">
        <v>347</v>
      </c>
      <c r="BX20" t="s">
        <v>312</v>
      </c>
      <c r="BY20" s="44"/>
      <c r="CA20" t="s">
        <v>344</v>
      </c>
      <c r="CB20" t="s">
        <v>369</v>
      </c>
      <c r="CE20" t="s">
        <v>390</v>
      </c>
      <c r="CF20" t="s">
        <v>391</v>
      </c>
      <c r="CJ20" t="s">
        <v>377</v>
      </c>
      <c r="CK20" t="s">
        <v>286</v>
      </c>
    </row>
    <row r="21" spans="2:89">
      <c r="N21">
        <v>46</v>
      </c>
      <c r="Y21" s="16">
        <f t="shared" ref="Y21" si="16">SUM(Y18,Y19,Y20)</f>
        <v>1</v>
      </c>
      <c r="AA21" t="s">
        <v>358</v>
      </c>
      <c r="AB21" t="s">
        <v>286</v>
      </c>
      <c r="AC21" s="16">
        <f>Q19</f>
        <v>0.1391304347826087</v>
      </c>
      <c r="AE21" s="16">
        <f>SUM(AE18:AE20)</f>
        <v>0.87391304347826082</v>
      </c>
      <c r="AF21" s="16">
        <f>SUM(AF18:AF20)</f>
        <v>40.200000000000003</v>
      </c>
      <c r="AG21" s="32" t="s">
        <v>358</v>
      </c>
      <c r="AH21" t="s">
        <v>283</v>
      </c>
      <c r="AI21" s="27">
        <f>Q24</f>
        <v>0.12882096069868995</v>
      </c>
      <c r="AJ21" s="27" t="s">
        <v>321</v>
      </c>
      <c r="AK21" s="27">
        <f>AI29</f>
        <v>6.5502183406113525E-3</v>
      </c>
      <c r="AL21">
        <f t="shared" si="14"/>
        <v>0.6</v>
      </c>
      <c r="AM21" s="32" t="s">
        <v>358</v>
      </c>
      <c r="AN21" t="s">
        <v>343</v>
      </c>
      <c r="AO21" s="16">
        <f>Q29</f>
        <v>0.14601769911504425</v>
      </c>
      <c r="AP21" t="s">
        <v>361</v>
      </c>
      <c r="AQ21">
        <f>AO27</f>
        <v>0.13053097345132744</v>
      </c>
      <c r="AR21">
        <f t="shared" si="15"/>
        <v>9.8333333333333339</v>
      </c>
      <c r="AV21" s="20" t="s">
        <v>392</v>
      </c>
      <c r="AW21" s="24"/>
      <c r="AX21" s="25"/>
      <c r="AY21" s="25">
        <f>AR5</f>
        <v>9</v>
      </c>
      <c r="AZ21" s="31"/>
      <c r="BA21" s="25">
        <f>AL24</f>
        <v>1.4</v>
      </c>
      <c r="BB21" s="25"/>
      <c r="BC21" s="25"/>
      <c r="BD21" s="25">
        <v>2</v>
      </c>
      <c r="BE21" s="25">
        <v>29.67</v>
      </c>
      <c r="BF21" s="25">
        <v>5.5</v>
      </c>
      <c r="BG21" s="25">
        <v>1.5</v>
      </c>
      <c r="BO21" s="32" t="s">
        <v>316</v>
      </c>
      <c r="BP21" t="s">
        <v>286</v>
      </c>
      <c r="BS21" s="32" t="s">
        <v>358</v>
      </c>
      <c r="BT21" t="s">
        <v>393</v>
      </c>
      <c r="BW21" s="32" t="s">
        <v>347</v>
      </c>
      <c r="BX21" t="s">
        <v>286</v>
      </c>
      <c r="BY21" s="44"/>
      <c r="CA21" t="s">
        <v>344</v>
      </c>
      <c r="CB21" s="37" t="s">
        <v>394</v>
      </c>
      <c r="CE21" t="s">
        <v>395</v>
      </c>
      <c r="CF21" t="s">
        <v>396</v>
      </c>
      <c r="CJ21" t="s">
        <v>377</v>
      </c>
      <c r="CK21" s="38" t="s">
        <v>397</v>
      </c>
    </row>
    <row r="22" spans="2:89" ht="15.95">
      <c r="D22" t="s">
        <v>26</v>
      </c>
      <c r="E22" s="13" t="s">
        <v>98</v>
      </c>
      <c r="F22" t="s">
        <v>25</v>
      </c>
      <c r="G22" s="13" t="s">
        <v>14</v>
      </c>
      <c r="H22" t="s">
        <v>4</v>
      </c>
      <c r="I22" s="13" t="s">
        <v>5</v>
      </c>
      <c r="J22" s="13" t="s">
        <v>6</v>
      </c>
      <c r="K22" s="13" t="s">
        <v>7</v>
      </c>
      <c r="L22" s="13" t="s">
        <v>8</v>
      </c>
      <c r="M22" t="s">
        <v>9</v>
      </c>
      <c r="O22" t="s">
        <v>341</v>
      </c>
      <c r="P22" s="13" t="s">
        <v>98</v>
      </c>
      <c r="Q22" t="s">
        <v>25</v>
      </c>
      <c r="R22" s="13" t="s">
        <v>14</v>
      </c>
      <c r="S22" t="s">
        <v>4</v>
      </c>
      <c r="T22" s="13" t="s">
        <v>5</v>
      </c>
      <c r="U22" s="13" t="s">
        <v>6</v>
      </c>
      <c r="V22" s="13" t="s">
        <v>7</v>
      </c>
      <c r="W22" s="13" t="s">
        <v>8</v>
      </c>
      <c r="X22" t="s">
        <v>9</v>
      </c>
      <c r="AA22" t="s">
        <v>347</v>
      </c>
      <c r="AB22" t="s">
        <v>286</v>
      </c>
      <c r="AC22" s="16">
        <f>Q20</f>
        <v>4.7826086956521741E-2</v>
      </c>
      <c r="AG22" s="32" t="s">
        <v>347</v>
      </c>
      <c r="AH22" t="s">
        <v>343</v>
      </c>
      <c r="AI22" s="27">
        <f>Q25</f>
        <v>1.5283842794759823E-2</v>
      </c>
      <c r="AJ22" s="27" t="s">
        <v>327</v>
      </c>
      <c r="AK22" s="27">
        <f>AI26</f>
        <v>4.3668122270742356E-3</v>
      </c>
      <c r="AL22">
        <f>AK22*$N$26</f>
        <v>0.4</v>
      </c>
      <c r="AM22" s="32" t="s">
        <v>347</v>
      </c>
      <c r="AN22" t="s">
        <v>283</v>
      </c>
      <c r="AO22" s="16">
        <f>Q30</f>
        <v>0.13274336283185842</v>
      </c>
      <c r="AP22" t="s">
        <v>327</v>
      </c>
      <c r="AQ22" s="16">
        <f>AO23</f>
        <v>5.7522123893805309E-2</v>
      </c>
      <c r="AR22">
        <f t="shared" si="15"/>
        <v>4.333333333333333</v>
      </c>
      <c r="AV22" s="20" t="s">
        <v>398</v>
      </c>
      <c r="AW22" s="24"/>
      <c r="AX22" s="25"/>
      <c r="AY22" s="25"/>
      <c r="AZ22" s="25"/>
      <c r="BA22" s="25">
        <f>AL23</f>
        <v>18.2</v>
      </c>
      <c r="BB22" s="25"/>
      <c r="BC22" s="25">
        <v>11.67</v>
      </c>
      <c r="BD22" s="25">
        <v>11</v>
      </c>
      <c r="BE22" s="25">
        <v>28.167000000000002</v>
      </c>
      <c r="BF22" s="25">
        <v>16</v>
      </c>
      <c r="BG22" s="25">
        <v>2.5</v>
      </c>
      <c r="BO22" s="32" t="s">
        <v>316</v>
      </c>
      <c r="BP22" t="s">
        <v>293</v>
      </c>
      <c r="BS22" s="32" t="s">
        <v>358</v>
      </c>
      <c r="BT22" t="s">
        <v>283</v>
      </c>
      <c r="BW22" s="32" t="s">
        <v>399</v>
      </c>
      <c r="BX22" t="s">
        <v>286</v>
      </c>
      <c r="BY22" s="44"/>
      <c r="CA22" t="s">
        <v>383</v>
      </c>
      <c r="CB22" t="s">
        <v>400</v>
      </c>
      <c r="CE22" t="s">
        <v>401</v>
      </c>
      <c r="CF22" t="s">
        <v>400</v>
      </c>
      <c r="CJ22" t="s">
        <v>402</v>
      </c>
      <c r="CK22" t="s">
        <v>403</v>
      </c>
    </row>
    <row r="23" spans="2:89" ht="15.95">
      <c r="E23" s="13" t="s">
        <v>10</v>
      </c>
      <c r="F23" s="13">
        <v>54.6</v>
      </c>
      <c r="G23" s="13">
        <v>13.2</v>
      </c>
      <c r="H23" s="18">
        <v>0.2</v>
      </c>
      <c r="I23" s="13">
        <v>2</v>
      </c>
      <c r="J23" s="13">
        <v>2.2000000000000002</v>
      </c>
      <c r="K23" s="18">
        <v>0.6</v>
      </c>
      <c r="L23" s="18">
        <v>0.4</v>
      </c>
      <c r="M23" s="18">
        <v>0.4</v>
      </c>
      <c r="N23">
        <v>73.600000000000009</v>
      </c>
      <c r="P23" s="13" t="s">
        <v>10</v>
      </c>
      <c r="Q23" s="15">
        <f>F23/$N$26</f>
        <v>0.59606986899563319</v>
      </c>
      <c r="R23" s="15">
        <f t="shared" ref="R23:Y25" si="17">G23/$N$26</f>
        <v>0.14410480349344976</v>
      </c>
      <c r="S23" s="15">
        <f t="shared" si="17"/>
        <v>2.1834061135371178E-3</v>
      </c>
      <c r="T23" s="15">
        <f t="shared" si="17"/>
        <v>2.1834061135371178E-2</v>
      </c>
      <c r="U23" s="15">
        <f t="shared" si="17"/>
        <v>2.4017467248908297E-2</v>
      </c>
      <c r="V23" s="15">
        <f t="shared" si="17"/>
        <v>6.5502183406113525E-3</v>
      </c>
      <c r="W23" s="15">
        <f t="shared" si="17"/>
        <v>4.3668122270742356E-3</v>
      </c>
      <c r="X23" s="15">
        <f t="shared" si="17"/>
        <v>4.3668122270742356E-3</v>
      </c>
      <c r="Y23" s="15">
        <f t="shared" si="17"/>
        <v>0.80349344978165937</v>
      </c>
      <c r="AA23" t="s">
        <v>292</v>
      </c>
      <c r="AB23" t="s">
        <v>314</v>
      </c>
      <c r="AC23" s="16">
        <f>R18</f>
        <v>5.6521739130434782E-2</v>
      </c>
      <c r="AG23" s="32" t="s">
        <v>292</v>
      </c>
      <c r="AH23" t="s">
        <v>286</v>
      </c>
      <c r="AI23" s="27">
        <f>R23</f>
        <v>0.14410480349344976</v>
      </c>
      <c r="AJ23" s="27" t="s">
        <v>398</v>
      </c>
      <c r="AK23" s="27">
        <f>AI20</f>
        <v>0.19868995633187772</v>
      </c>
      <c r="AL23">
        <f t="shared" si="14"/>
        <v>18.2</v>
      </c>
      <c r="AM23" s="32" t="s">
        <v>292</v>
      </c>
      <c r="AN23" t="s">
        <v>312</v>
      </c>
      <c r="AO23" s="16">
        <f>R28</f>
        <v>5.7522123893805309E-2</v>
      </c>
      <c r="AP23" t="s">
        <v>381</v>
      </c>
      <c r="AQ23">
        <f>AO18</f>
        <v>0.112094395280236</v>
      </c>
      <c r="AR23">
        <f t="shared" si="15"/>
        <v>8.4444444444444446</v>
      </c>
      <c r="AV23" s="20" t="s">
        <v>404</v>
      </c>
      <c r="AW23" s="24"/>
      <c r="AX23" s="25"/>
      <c r="AY23" s="25"/>
      <c r="AZ23" s="25"/>
      <c r="BA23" s="25"/>
      <c r="BB23" s="25"/>
      <c r="BC23" s="25"/>
      <c r="BD23" s="25"/>
      <c r="BE23" s="25"/>
      <c r="BF23" s="25"/>
      <c r="BG23" s="25">
        <v>19.5</v>
      </c>
      <c r="BO23" s="32" t="s">
        <v>316</v>
      </c>
      <c r="BP23" t="s">
        <v>286</v>
      </c>
      <c r="BS23" s="32" t="s">
        <v>405</v>
      </c>
      <c r="BT23" t="s">
        <v>286</v>
      </c>
      <c r="BW23" s="32" t="s">
        <v>370</v>
      </c>
      <c r="BX23" t="s">
        <v>286</v>
      </c>
      <c r="BY23" s="44"/>
      <c r="CA23" t="s">
        <v>344</v>
      </c>
      <c r="CB23" t="s">
        <v>317</v>
      </c>
      <c r="CE23" t="s">
        <v>406</v>
      </c>
      <c r="CF23" t="s">
        <v>407</v>
      </c>
    </row>
    <row r="24" spans="2:89" ht="15.95">
      <c r="E24" s="13" t="s">
        <v>11</v>
      </c>
      <c r="F24" s="13">
        <v>11.8</v>
      </c>
      <c r="G24" s="13">
        <v>2.2000000000000002</v>
      </c>
      <c r="H24" s="13">
        <v>0</v>
      </c>
      <c r="I24" s="13">
        <v>0.6</v>
      </c>
      <c r="J24" s="13">
        <v>0.4</v>
      </c>
      <c r="K24" s="13">
        <v>0</v>
      </c>
      <c r="L24" s="13">
        <v>0</v>
      </c>
      <c r="M24" s="13">
        <v>0</v>
      </c>
      <c r="N24">
        <v>15</v>
      </c>
      <c r="P24" s="13" t="s">
        <v>11</v>
      </c>
      <c r="Q24" s="15">
        <f t="shared" ref="Q24:Q25" si="18">F24/$N$26</f>
        <v>0.12882096069868995</v>
      </c>
      <c r="R24" s="15">
        <f t="shared" si="17"/>
        <v>2.4017467248908297E-2</v>
      </c>
      <c r="S24" s="15">
        <f t="shared" si="17"/>
        <v>0</v>
      </c>
      <c r="T24" s="15">
        <f t="shared" si="17"/>
        <v>6.5502183406113525E-3</v>
      </c>
      <c r="U24" s="15">
        <f t="shared" si="17"/>
        <v>4.3668122270742356E-3</v>
      </c>
      <c r="V24" s="15">
        <f t="shared" si="17"/>
        <v>0</v>
      </c>
      <c r="W24" s="15">
        <f t="shared" si="17"/>
        <v>0</v>
      </c>
      <c r="X24" s="15">
        <f t="shared" si="17"/>
        <v>0</v>
      </c>
      <c r="Y24" s="15">
        <f t="shared" si="17"/>
        <v>0.16375545851528384</v>
      </c>
      <c r="AA24" t="s">
        <v>308</v>
      </c>
      <c r="AB24" t="s">
        <v>286</v>
      </c>
      <c r="AC24" s="16">
        <f>R19</f>
        <v>2.6086956521739129E-2</v>
      </c>
      <c r="AG24" s="32" t="s">
        <v>308</v>
      </c>
      <c r="AH24" t="s">
        <v>286</v>
      </c>
      <c r="AI24" s="27">
        <f>R24</f>
        <v>2.4017467248908297E-2</v>
      </c>
      <c r="AJ24" s="27" t="s">
        <v>330</v>
      </c>
      <c r="AK24" s="27">
        <f>AI27</f>
        <v>1.5283842794759823E-2</v>
      </c>
      <c r="AL24">
        <f>AK24*$N$26</f>
        <v>1.4</v>
      </c>
      <c r="AM24" s="32" t="s">
        <v>308</v>
      </c>
      <c r="AN24" t="s">
        <v>286</v>
      </c>
      <c r="AO24" s="16">
        <f>R29</f>
        <v>2.6548672566371685E-2</v>
      </c>
      <c r="AQ24" s="16">
        <f>SUM(AQ18:AQ23)</f>
        <v>0.97787610619469034</v>
      </c>
      <c r="AR24">
        <f>SUM(AR18:AR23)</f>
        <v>73.666666666666671</v>
      </c>
      <c r="AV24" s="20" t="s">
        <v>408</v>
      </c>
      <c r="AW24" s="24"/>
      <c r="AX24" s="25"/>
      <c r="AY24" s="25">
        <f>AR6</f>
        <v>1</v>
      </c>
      <c r="AZ24" s="25"/>
      <c r="BA24" s="25"/>
      <c r="BB24" s="25"/>
      <c r="BC24" s="25"/>
      <c r="BD24" s="25"/>
      <c r="BE24" s="25"/>
      <c r="BF24" s="25"/>
      <c r="BG24" s="25"/>
      <c r="BO24" s="32" t="s">
        <v>316</v>
      </c>
      <c r="BP24" t="s">
        <v>286</v>
      </c>
      <c r="BS24" s="32" t="s">
        <v>358</v>
      </c>
      <c r="BT24" t="s">
        <v>343</v>
      </c>
      <c r="BW24" s="32" t="s">
        <v>347</v>
      </c>
      <c r="BX24" t="s">
        <v>343</v>
      </c>
      <c r="BY24" s="44"/>
      <c r="CA24" t="s">
        <v>344</v>
      </c>
      <c r="CB24" t="s">
        <v>409</v>
      </c>
      <c r="CE24" t="s">
        <v>375</v>
      </c>
      <c r="CF24" t="s">
        <v>286</v>
      </c>
    </row>
    <row r="25" spans="2:89" ht="15.95">
      <c r="E25" t="s">
        <v>12</v>
      </c>
      <c r="F25" s="13">
        <v>1.4</v>
      </c>
      <c r="G25" s="18">
        <v>0.2</v>
      </c>
      <c r="H25" s="13">
        <v>0</v>
      </c>
      <c r="I25" s="13">
        <v>0</v>
      </c>
      <c r="J25" s="13">
        <v>1.4</v>
      </c>
      <c r="K25" s="13">
        <v>0</v>
      </c>
      <c r="L25" s="13">
        <v>0</v>
      </c>
      <c r="M25" s="13">
        <v>0</v>
      </c>
      <c r="N25">
        <v>3</v>
      </c>
      <c r="P25" t="s">
        <v>12</v>
      </c>
      <c r="Q25" s="15">
        <f t="shared" si="18"/>
        <v>1.5283842794759823E-2</v>
      </c>
      <c r="R25" s="15">
        <f t="shared" si="17"/>
        <v>2.1834061135371178E-3</v>
      </c>
      <c r="S25" s="15">
        <f t="shared" si="17"/>
        <v>0</v>
      </c>
      <c r="T25" s="15">
        <f t="shared" si="17"/>
        <v>0</v>
      </c>
      <c r="U25" s="15">
        <f t="shared" si="17"/>
        <v>1.5283842794759823E-2</v>
      </c>
      <c r="V25" s="15">
        <f t="shared" si="17"/>
        <v>0</v>
      </c>
      <c r="W25" s="15">
        <f t="shared" si="17"/>
        <v>0</v>
      </c>
      <c r="X25" s="15">
        <f t="shared" si="17"/>
        <v>0</v>
      </c>
      <c r="Y25" s="15">
        <f t="shared" si="17"/>
        <v>3.2751091703056769E-2</v>
      </c>
      <c r="AA25" t="s">
        <v>410</v>
      </c>
      <c r="AB25" t="s">
        <v>286</v>
      </c>
      <c r="AC25" s="16">
        <f>U18</f>
        <v>2.1739130434782608E-2</v>
      </c>
      <c r="AG25" s="32" t="s">
        <v>410</v>
      </c>
      <c r="AH25" t="s">
        <v>283</v>
      </c>
      <c r="AI25" s="27">
        <f>U23</f>
        <v>2.4017467248908297E-2</v>
      </c>
      <c r="AJ25" s="27"/>
      <c r="AK25" s="27">
        <f>SUM(AK18:AK24)</f>
        <v>0.98034934497816584</v>
      </c>
      <c r="AL25">
        <f>SUM(AL18:AL24)</f>
        <v>89.800000000000011</v>
      </c>
      <c r="AM25" s="32" t="s">
        <v>349</v>
      </c>
      <c r="AN25" t="s">
        <v>286</v>
      </c>
      <c r="AO25" s="16">
        <f>T28</f>
        <v>1.7699115044247787E-2</v>
      </c>
      <c r="AW25" s="14">
        <f>SUM(AW4:AW24)</f>
        <v>70.989999999999995</v>
      </c>
      <c r="AX25" s="14">
        <f>SUM(AX4:AX24)</f>
        <v>72</v>
      </c>
      <c r="AY25" s="14">
        <f t="shared" ref="AY25:BG25" si="19">SUM(AY4:AY24)</f>
        <v>107</v>
      </c>
      <c r="AZ25" s="14">
        <f t="shared" si="19"/>
        <v>40.199999999999996</v>
      </c>
      <c r="BA25" s="14">
        <f t="shared" si="19"/>
        <v>89.800000000000026</v>
      </c>
      <c r="BB25" s="14">
        <f>SUM(BB4:BB24)</f>
        <v>73.666666666666671</v>
      </c>
      <c r="BC25" s="14">
        <f t="shared" si="19"/>
        <v>116.04</v>
      </c>
      <c r="BD25" s="14">
        <f t="shared" si="19"/>
        <v>132.5</v>
      </c>
      <c r="BE25" s="14">
        <f t="shared" si="19"/>
        <v>120.00700000000001</v>
      </c>
      <c r="BF25" s="14">
        <f t="shared" si="19"/>
        <v>87.5</v>
      </c>
      <c r="BG25" s="14">
        <f t="shared" si="19"/>
        <v>90</v>
      </c>
      <c r="BO25" s="32" t="s">
        <v>316</v>
      </c>
      <c r="BP25" t="s">
        <v>411</v>
      </c>
      <c r="BS25" s="32" t="s">
        <v>405</v>
      </c>
      <c r="BT25" t="s">
        <v>412</v>
      </c>
      <c r="BW25" s="32" t="s">
        <v>370</v>
      </c>
      <c r="BX25" t="s">
        <v>286</v>
      </c>
      <c r="BY25" s="44"/>
      <c r="CA25" t="s">
        <v>344</v>
      </c>
      <c r="CB25" t="s">
        <v>286</v>
      </c>
      <c r="CE25" s="32" t="s">
        <v>375</v>
      </c>
      <c r="CF25" t="s">
        <v>413</v>
      </c>
      <c r="CJ25" t="s">
        <v>323</v>
      </c>
      <c r="CK25" s="38" t="s">
        <v>414</v>
      </c>
    </row>
    <row r="26" spans="2:89">
      <c r="N26">
        <v>91.600000000000009</v>
      </c>
      <c r="Y26" s="16">
        <f t="shared" ref="Y26" si="20">SUM(Y23,Y24,Y25)</f>
        <v>1</v>
      </c>
      <c r="AA26" t="s">
        <v>415</v>
      </c>
      <c r="AB26" t="s">
        <v>314</v>
      </c>
      <c r="AC26" s="16">
        <f>U19</f>
        <v>2.6086956521739129E-2</v>
      </c>
      <c r="AG26" s="32" t="s">
        <v>416</v>
      </c>
      <c r="AH26" t="s">
        <v>417</v>
      </c>
      <c r="AI26" s="27">
        <f>U24</f>
        <v>4.3668122270742356E-3</v>
      </c>
      <c r="AJ26" s="27"/>
      <c r="AK26" s="27"/>
      <c r="AM26" s="32" t="s">
        <v>418</v>
      </c>
      <c r="AN26" t="s">
        <v>286</v>
      </c>
      <c r="AO26">
        <f>U30/2</f>
        <v>0.13053097345132744</v>
      </c>
      <c r="AU26" t="s">
        <v>419</v>
      </c>
      <c r="BO26" s="32" t="s">
        <v>316</v>
      </c>
      <c r="BP26" t="s">
        <v>286</v>
      </c>
      <c r="BS26" s="32" t="s">
        <v>405</v>
      </c>
      <c r="BT26" t="s">
        <v>338</v>
      </c>
      <c r="BW26" s="32" t="s">
        <v>347</v>
      </c>
      <c r="BX26" t="s">
        <v>283</v>
      </c>
      <c r="BY26" s="44"/>
      <c r="CA26" t="s">
        <v>344</v>
      </c>
      <c r="CB26" t="s">
        <v>286</v>
      </c>
      <c r="CE26" t="s">
        <v>401</v>
      </c>
      <c r="CF26" t="s">
        <v>293</v>
      </c>
      <c r="CJ26" t="s">
        <v>323</v>
      </c>
      <c r="CK26" t="s">
        <v>286</v>
      </c>
    </row>
    <row r="27" spans="2:89" ht="15.95">
      <c r="D27" t="s">
        <v>26</v>
      </c>
      <c r="E27" s="13" t="s">
        <v>99</v>
      </c>
      <c r="F27" t="s">
        <v>25</v>
      </c>
      <c r="G27" s="13" t="s">
        <v>14</v>
      </c>
      <c r="H27" t="s">
        <v>4</v>
      </c>
      <c r="I27" s="13" t="s">
        <v>5</v>
      </c>
      <c r="J27" s="13" t="s">
        <v>6</v>
      </c>
      <c r="K27" s="13" t="s">
        <v>7</v>
      </c>
      <c r="L27" s="13" t="s">
        <v>8</v>
      </c>
      <c r="M27" t="s">
        <v>9</v>
      </c>
      <c r="O27" t="s">
        <v>341</v>
      </c>
      <c r="P27" s="13" t="s">
        <v>99</v>
      </c>
      <c r="Q27" t="s">
        <v>25</v>
      </c>
      <c r="R27" s="13" t="s">
        <v>14</v>
      </c>
      <c r="S27" t="s">
        <v>4</v>
      </c>
      <c r="T27" s="13" t="s">
        <v>5</v>
      </c>
      <c r="U27" s="13" t="s">
        <v>6</v>
      </c>
      <c r="V27" s="13" t="s">
        <v>7</v>
      </c>
      <c r="W27" s="13" t="s">
        <v>8</v>
      </c>
      <c r="X27" t="s">
        <v>9</v>
      </c>
      <c r="AA27" t="s">
        <v>418</v>
      </c>
      <c r="AB27" t="s">
        <v>329</v>
      </c>
      <c r="AG27" s="32" t="s">
        <v>306</v>
      </c>
      <c r="AH27" t="s">
        <v>307</v>
      </c>
      <c r="AI27" s="27">
        <f>U25</f>
        <v>1.5283842794759823E-2</v>
      </c>
      <c r="AJ27" s="27"/>
      <c r="AK27" s="27"/>
      <c r="AM27" s="32" t="s">
        <v>418</v>
      </c>
      <c r="AN27" t="s">
        <v>361</v>
      </c>
      <c r="AO27">
        <f>U30/2</f>
        <v>0.13053097345132744</v>
      </c>
      <c r="AV27" s="19" t="s">
        <v>420</v>
      </c>
      <c r="AW27" s="20" t="s">
        <v>344</v>
      </c>
      <c r="AX27" s="20" t="s">
        <v>313</v>
      </c>
      <c r="AY27" s="20" t="s">
        <v>421</v>
      </c>
      <c r="AZ27" s="20" t="s">
        <v>375</v>
      </c>
      <c r="BA27" s="20" t="s">
        <v>422</v>
      </c>
      <c r="BB27" s="20" t="s">
        <v>323</v>
      </c>
      <c r="BC27" s="20" t="s">
        <v>423</v>
      </c>
      <c r="BD27" s="20" t="s">
        <v>351</v>
      </c>
      <c r="BE27" s="20" t="s">
        <v>424</v>
      </c>
      <c r="BF27" s="20" t="s">
        <v>425</v>
      </c>
      <c r="BG27" s="20" t="s">
        <v>377</v>
      </c>
      <c r="BH27" s="20" t="s">
        <v>426</v>
      </c>
      <c r="BI27" s="20" t="s">
        <v>427</v>
      </c>
      <c r="BJ27" s="20" t="s">
        <v>333</v>
      </c>
      <c r="BK27" s="20" t="s">
        <v>428</v>
      </c>
      <c r="BL27" s="20" t="s">
        <v>429</v>
      </c>
      <c r="BO27" s="32" t="s">
        <v>316</v>
      </c>
      <c r="BP27" t="s">
        <v>343</v>
      </c>
      <c r="BS27" s="32" t="s">
        <v>405</v>
      </c>
      <c r="BT27" t="s">
        <v>296</v>
      </c>
      <c r="BW27" s="32" t="s">
        <v>347</v>
      </c>
      <c r="BX27" t="s">
        <v>286</v>
      </c>
      <c r="BY27" s="44"/>
      <c r="CA27" t="s">
        <v>344</v>
      </c>
      <c r="CB27" t="s">
        <v>321</v>
      </c>
      <c r="CE27" t="s">
        <v>375</v>
      </c>
      <c r="CF27" t="s">
        <v>361</v>
      </c>
      <c r="CJ27" t="s">
        <v>430</v>
      </c>
      <c r="CK27" t="s">
        <v>369</v>
      </c>
    </row>
    <row r="28" spans="2:89" ht="15.95">
      <c r="E28" s="13" t="s">
        <v>10</v>
      </c>
      <c r="F28" s="13">
        <v>25.333333333333332</v>
      </c>
      <c r="G28" s="13">
        <v>4.333333333333333</v>
      </c>
      <c r="H28" s="18">
        <v>0.33333333333333331</v>
      </c>
      <c r="I28" s="13">
        <v>1.3333333333333333</v>
      </c>
      <c r="J28" s="13">
        <v>0</v>
      </c>
      <c r="K28" s="13">
        <v>0</v>
      </c>
      <c r="L28" s="18">
        <v>0.33333333333333331</v>
      </c>
      <c r="M28" s="13">
        <v>0</v>
      </c>
      <c r="N28">
        <v>31.666666666666661</v>
      </c>
      <c r="P28" s="13" t="s">
        <v>10</v>
      </c>
      <c r="Q28" s="15">
        <f>F28/$N$31</f>
        <v>0.33628318584070799</v>
      </c>
      <c r="R28" s="15">
        <f t="shared" ref="R28:Y30" si="21">G28/$N$31</f>
        <v>5.7522123893805309E-2</v>
      </c>
      <c r="S28" s="15">
        <f t="shared" si="21"/>
        <v>4.4247787610619468E-3</v>
      </c>
      <c r="T28" s="15">
        <f t="shared" si="21"/>
        <v>1.7699115044247787E-2</v>
      </c>
      <c r="U28" s="15">
        <f t="shared" si="21"/>
        <v>0</v>
      </c>
      <c r="V28" s="15">
        <f t="shared" si="21"/>
        <v>0</v>
      </c>
      <c r="W28" s="15">
        <f t="shared" si="21"/>
        <v>4.4247787610619468E-3</v>
      </c>
      <c r="X28" s="15">
        <f t="shared" si="21"/>
        <v>0</v>
      </c>
      <c r="Y28" s="15">
        <f t="shared" si="21"/>
        <v>0.42035398230088489</v>
      </c>
      <c r="AA28" t="s">
        <v>431</v>
      </c>
      <c r="AB28" t="s">
        <v>329</v>
      </c>
      <c r="AG28" s="32" t="s">
        <v>323</v>
      </c>
      <c r="AH28" t="s">
        <v>286</v>
      </c>
      <c r="AI28" s="27">
        <f>T23</f>
        <v>2.1834061135371178E-2</v>
      </c>
      <c r="AJ28" s="27"/>
      <c r="AK28" s="27"/>
      <c r="AO28">
        <f>SUM(AO18:AO27)</f>
        <v>0.97787610619469045</v>
      </c>
      <c r="AV28" s="20" t="s">
        <v>286</v>
      </c>
      <c r="AW28" s="20">
        <v>13</v>
      </c>
      <c r="AX28" s="20">
        <v>5</v>
      </c>
      <c r="AY28" s="20">
        <v>7</v>
      </c>
      <c r="AZ28" s="20">
        <v>7</v>
      </c>
      <c r="BA28" s="20">
        <v>7</v>
      </c>
      <c r="BB28" s="20">
        <v>12</v>
      </c>
      <c r="BC28" s="20">
        <v>1</v>
      </c>
      <c r="BD28" s="20">
        <v>3</v>
      </c>
      <c r="BE28" s="20">
        <v>4</v>
      </c>
      <c r="BF28" s="20">
        <v>6</v>
      </c>
      <c r="BG28" s="20"/>
      <c r="BH28" s="20">
        <v>2</v>
      </c>
      <c r="BI28" s="20">
        <v>1</v>
      </c>
      <c r="BJ28" s="20">
        <v>1</v>
      </c>
      <c r="BK28" s="20">
        <v>2</v>
      </c>
      <c r="BL28" s="20">
        <v>2</v>
      </c>
      <c r="BM28">
        <f>SUM(AW28:BL28)</f>
        <v>73</v>
      </c>
      <c r="BN28" t="s">
        <v>432</v>
      </c>
      <c r="BO28" s="32" t="s">
        <v>316</v>
      </c>
      <c r="BP28" t="s">
        <v>283</v>
      </c>
      <c r="BS28" s="32" t="s">
        <v>358</v>
      </c>
      <c r="BT28" t="s">
        <v>433</v>
      </c>
      <c r="BW28" s="32" t="s">
        <v>347</v>
      </c>
      <c r="BX28" t="s">
        <v>286</v>
      </c>
      <c r="BY28" s="44"/>
      <c r="CA28" t="s">
        <v>344</v>
      </c>
      <c r="CB28" t="s">
        <v>317</v>
      </c>
      <c r="CE28" t="s">
        <v>375</v>
      </c>
      <c r="CF28" t="s">
        <v>286</v>
      </c>
      <c r="CJ28" t="s">
        <v>434</v>
      </c>
      <c r="CK28" t="s">
        <v>435</v>
      </c>
    </row>
    <row r="29" spans="2:89" ht="15.95">
      <c r="E29" s="13" t="s">
        <v>11</v>
      </c>
      <c r="F29" s="13">
        <v>11</v>
      </c>
      <c r="G29" s="13">
        <v>2</v>
      </c>
      <c r="H29" s="13">
        <v>0</v>
      </c>
      <c r="I29" s="18">
        <v>0.33333333333333331</v>
      </c>
      <c r="J29" s="18">
        <v>0.33333333333333331</v>
      </c>
      <c r="K29" s="13">
        <v>0</v>
      </c>
      <c r="L29" s="13">
        <v>0</v>
      </c>
      <c r="M29" s="13">
        <v>0</v>
      </c>
      <c r="N29">
        <v>13.666666666666668</v>
      </c>
      <c r="P29" s="13" t="s">
        <v>11</v>
      </c>
      <c r="Q29" s="15">
        <f t="shared" ref="Q29:Q30" si="22">F29/$N$31</f>
        <v>0.14601769911504425</v>
      </c>
      <c r="R29" s="15">
        <f t="shared" si="21"/>
        <v>2.6548672566371685E-2</v>
      </c>
      <c r="S29" s="15">
        <f t="shared" si="21"/>
        <v>0</v>
      </c>
      <c r="T29" s="15">
        <f t="shared" si="21"/>
        <v>4.4247787610619468E-3</v>
      </c>
      <c r="U29" s="15">
        <f t="shared" si="21"/>
        <v>4.4247787610619468E-3</v>
      </c>
      <c r="V29" s="15">
        <f t="shared" si="21"/>
        <v>0</v>
      </c>
      <c r="W29" s="15">
        <f t="shared" si="21"/>
        <v>0</v>
      </c>
      <c r="X29" s="15">
        <f t="shared" si="21"/>
        <v>0</v>
      </c>
      <c r="Y29" s="15">
        <f t="shared" si="21"/>
        <v>0.18141592920353986</v>
      </c>
      <c r="AC29">
        <f>SUM(AC18:AC28)</f>
        <v>0.87391304347826071</v>
      </c>
      <c r="AG29" s="32" t="s">
        <v>306</v>
      </c>
      <c r="AH29" t="s">
        <v>321</v>
      </c>
      <c r="AI29" s="27">
        <f>T24</f>
        <v>6.5502183406113525E-3</v>
      </c>
      <c r="AJ29" s="27"/>
      <c r="AK29" s="27"/>
      <c r="AV29" s="20" t="s">
        <v>296</v>
      </c>
      <c r="AW29" s="20">
        <v>3</v>
      </c>
      <c r="AX29" s="20">
        <v>1</v>
      </c>
      <c r="AY29" s="20"/>
      <c r="AZ29" s="20">
        <v>1</v>
      </c>
      <c r="BA29" s="20"/>
      <c r="BB29" s="20"/>
      <c r="BC29" s="20"/>
      <c r="BD29" s="20"/>
      <c r="BE29" s="20">
        <v>1</v>
      </c>
      <c r="BF29" s="20"/>
      <c r="BG29" s="20"/>
      <c r="BH29" s="20"/>
      <c r="BI29" s="20"/>
      <c r="BJ29" s="20"/>
      <c r="BK29" s="20"/>
      <c r="BL29" s="20"/>
      <c r="BM29">
        <f t="shared" ref="BM29:BM49" si="23">SUM(AW29:BL29)</f>
        <v>6</v>
      </c>
      <c r="BO29" s="32" t="s">
        <v>316</v>
      </c>
      <c r="BP29" t="s">
        <v>388</v>
      </c>
      <c r="BS29" s="32" t="s">
        <v>358</v>
      </c>
      <c r="BT29" t="s">
        <v>343</v>
      </c>
      <c r="BW29" s="32" t="s">
        <v>347</v>
      </c>
      <c r="BX29" t="s">
        <v>436</v>
      </c>
      <c r="BY29" s="44"/>
      <c r="CA29" t="s">
        <v>344</v>
      </c>
      <c r="CB29" t="s">
        <v>437</v>
      </c>
      <c r="CJ29" t="s">
        <v>323</v>
      </c>
      <c r="CK29" t="s">
        <v>438</v>
      </c>
    </row>
    <row r="30" spans="2:89" ht="15.95">
      <c r="E30" t="s">
        <v>12</v>
      </c>
      <c r="F30" s="13">
        <v>10</v>
      </c>
      <c r="G30" s="18">
        <v>0.33333333333333331</v>
      </c>
      <c r="H30" s="13">
        <v>0</v>
      </c>
      <c r="I30" s="13">
        <v>0</v>
      </c>
      <c r="J30" s="13">
        <v>19.666666666666668</v>
      </c>
      <c r="K30" s="13">
        <v>0</v>
      </c>
      <c r="L30" s="13">
        <v>0</v>
      </c>
      <c r="M30" s="13">
        <v>0</v>
      </c>
      <c r="N30">
        <v>30</v>
      </c>
      <c r="P30" t="s">
        <v>12</v>
      </c>
      <c r="Q30" s="15">
        <f t="shared" si="22"/>
        <v>0.13274336283185842</v>
      </c>
      <c r="R30" s="15">
        <f t="shared" si="21"/>
        <v>4.4247787610619468E-3</v>
      </c>
      <c r="S30" s="15">
        <f t="shared" si="21"/>
        <v>0</v>
      </c>
      <c r="T30" s="15">
        <f t="shared" si="21"/>
        <v>0</v>
      </c>
      <c r="U30" s="15">
        <f t="shared" si="21"/>
        <v>0.26106194690265488</v>
      </c>
      <c r="V30" s="15">
        <f t="shared" si="21"/>
        <v>0</v>
      </c>
      <c r="W30" s="15">
        <f t="shared" si="21"/>
        <v>0</v>
      </c>
      <c r="X30" s="15">
        <f t="shared" si="21"/>
        <v>0</v>
      </c>
      <c r="Y30" s="15">
        <f t="shared" si="21"/>
        <v>0.39823008849557523</v>
      </c>
      <c r="AI30" s="27">
        <f>SUM(AI18:AI29)</f>
        <v>0.98034934497816595</v>
      </c>
      <c r="AJ30" s="27"/>
      <c r="AK30" s="27"/>
      <c r="AV30" s="20" t="s">
        <v>338</v>
      </c>
      <c r="AW30" s="20"/>
      <c r="AX30" s="20">
        <v>1</v>
      </c>
      <c r="AY30" s="20"/>
      <c r="AZ30" s="20"/>
      <c r="BA30" s="20"/>
      <c r="BB30" s="20"/>
      <c r="BC30" s="20"/>
      <c r="BD30" s="20"/>
      <c r="BE30" s="20"/>
      <c r="BF30" s="20">
        <v>1</v>
      </c>
      <c r="BG30" s="20"/>
      <c r="BH30" s="20"/>
      <c r="BI30" s="20"/>
      <c r="BJ30" s="20"/>
      <c r="BK30" s="20">
        <v>1</v>
      </c>
      <c r="BL30" s="20"/>
      <c r="BM30">
        <f t="shared" si="23"/>
        <v>3</v>
      </c>
      <c r="BO30" s="32" t="s">
        <v>439</v>
      </c>
      <c r="BP30" t="s">
        <v>286</v>
      </c>
      <c r="BS30" s="32" t="s">
        <v>319</v>
      </c>
      <c r="BT30" t="s">
        <v>328</v>
      </c>
      <c r="BY30" s="44"/>
      <c r="CA30" t="s">
        <v>344</v>
      </c>
      <c r="CB30" s="38" t="s">
        <v>440</v>
      </c>
      <c r="CJ30" t="s">
        <v>323</v>
      </c>
      <c r="CK30" t="s">
        <v>372</v>
      </c>
    </row>
    <row r="31" spans="2:89">
      <c r="N31">
        <v>75.333333333333329</v>
      </c>
      <c r="Y31" s="16">
        <f t="shared" ref="Y31" si="24">SUM(Y28,Y29,Y30)</f>
        <v>1</v>
      </c>
      <c r="AV31" s="20" t="s">
        <v>343</v>
      </c>
      <c r="AW31" s="20">
        <v>2</v>
      </c>
      <c r="AX31" s="20">
        <v>2</v>
      </c>
      <c r="AY31" s="20">
        <v>1</v>
      </c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>
        <f t="shared" si="23"/>
        <v>5</v>
      </c>
      <c r="BO31" s="32" t="s">
        <v>439</v>
      </c>
      <c r="BP31" t="s">
        <v>286</v>
      </c>
      <c r="BS31" s="32" t="s">
        <v>319</v>
      </c>
      <c r="BT31" t="s">
        <v>286</v>
      </c>
      <c r="BY31" s="44"/>
      <c r="CA31" t="s">
        <v>374</v>
      </c>
      <c r="CB31" t="s">
        <v>314</v>
      </c>
      <c r="CJ31" t="s">
        <v>323</v>
      </c>
      <c r="CK31" t="s">
        <v>441</v>
      </c>
    </row>
    <row r="32" spans="2:89" ht="15.95">
      <c r="D32" t="s">
        <v>26</v>
      </c>
      <c r="E32" s="13" t="s">
        <v>100</v>
      </c>
      <c r="F32" t="s">
        <v>25</v>
      </c>
      <c r="G32" s="13" t="s">
        <v>14</v>
      </c>
      <c r="H32" t="s">
        <v>4</v>
      </c>
      <c r="I32" s="13" t="s">
        <v>5</v>
      </c>
      <c r="J32" s="13" t="s">
        <v>6</v>
      </c>
      <c r="K32" s="13" t="s">
        <v>7</v>
      </c>
      <c r="L32" s="13" t="s">
        <v>8</v>
      </c>
      <c r="M32" t="s">
        <v>9</v>
      </c>
      <c r="O32" t="s">
        <v>341</v>
      </c>
      <c r="P32" s="13" t="s">
        <v>100</v>
      </c>
      <c r="Q32" t="s">
        <v>25</v>
      </c>
      <c r="R32" s="13" t="s">
        <v>14</v>
      </c>
      <c r="S32" t="s">
        <v>4</v>
      </c>
      <c r="T32" s="13" t="s">
        <v>5</v>
      </c>
      <c r="U32" s="13" t="s">
        <v>6</v>
      </c>
      <c r="V32" s="13" t="s">
        <v>7</v>
      </c>
      <c r="W32" s="13" t="s">
        <v>8</v>
      </c>
      <c r="X32" t="s">
        <v>9</v>
      </c>
      <c r="AA32">
        <v>11</v>
      </c>
      <c r="AB32" t="s">
        <v>301</v>
      </c>
      <c r="AG32" s="32">
        <v>18</v>
      </c>
      <c r="AH32" t="s">
        <v>302</v>
      </c>
      <c r="AM32" s="32">
        <v>15</v>
      </c>
      <c r="AN32" t="s">
        <v>303</v>
      </c>
      <c r="AV32" s="20" t="s">
        <v>295</v>
      </c>
      <c r="AW32" s="20">
        <v>1</v>
      </c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>
        <f t="shared" si="23"/>
        <v>1</v>
      </c>
      <c r="BO32" s="32" t="s">
        <v>316</v>
      </c>
      <c r="BP32" t="s">
        <v>381</v>
      </c>
      <c r="BS32" s="32" t="s">
        <v>319</v>
      </c>
      <c r="BT32" t="s">
        <v>329</v>
      </c>
      <c r="BY32" s="44"/>
      <c r="CA32" t="s">
        <v>378</v>
      </c>
      <c r="CB32" t="s">
        <v>286</v>
      </c>
      <c r="CE32" s="32" t="s">
        <v>422</v>
      </c>
      <c r="CF32" t="s">
        <v>324</v>
      </c>
      <c r="CJ32" t="s">
        <v>323</v>
      </c>
      <c r="CK32" t="s">
        <v>436</v>
      </c>
    </row>
    <row r="33" spans="4:89" ht="15.95">
      <c r="E33" s="13" t="s">
        <v>10</v>
      </c>
      <c r="F33" s="13">
        <v>63</v>
      </c>
      <c r="G33" s="18">
        <v>5</v>
      </c>
      <c r="H33" s="13">
        <v>2</v>
      </c>
      <c r="I33" s="13">
        <v>2.6666666666666665</v>
      </c>
      <c r="J33" s="13">
        <v>2.6666666666666665</v>
      </c>
      <c r="K33" s="13">
        <v>2.6666666666666665</v>
      </c>
      <c r="L33" s="18">
        <v>0.33333333333333331</v>
      </c>
      <c r="M33" s="18">
        <v>0.66666666666666663</v>
      </c>
      <c r="N33">
        <v>79.000000000000014</v>
      </c>
      <c r="P33" s="13" t="s">
        <v>10</v>
      </c>
      <c r="Q33" s="15">
        <f>F33/$N$36</f>
        <v>0.51219512195121941</v>
      </c>
      <c r="R33" s="15">
        <f t="shared" ref="R33:Y35" si="25">G33/$N$36</f>
        <v>4.0650406504065033E-2</v>
      </c>
      <c r="S33" s="15">
        <f t="shared" si="25"/>
        <v>1.6260162601626011E-2</v>
      </c>
      <c r="T33" s="15">
        <f t="shared" si="25"/>
        <v>2.1680216802168015E-2</v>
      </c>
      <c r="U33" s="15">
        <f t="shared" si="25"/>
        <v>2.1680216802168015E-2</v>
      </c>
      <c r="V33" s="15">
        <f t="shared" si="25"/>
        <v>2.1680216802168015E-2</v>
      </c>
      <c r="W33" s="15">
        <f t="shared" si="25"/>
        <v>2.7100271002710018E-3</v>
      </c>
      <c r="X33" s="15">
        <f t="shared" si="25"/>
        <v>5.4200542005420037E-3</v>
      </c>
      <c r="Y33" s="15">
        <f t="shared" si="25"/>
        <v>0.64227642276422758</v>
      </c>
      <c r="AA33" t="s">
        <v>442</v>
      </c>
      <c r="AB33" t="s">
        <v>286</v>
      </c>
      <c r="AC33" s="16">
        <f>U33</f>
        <v>2.1680216802168015E-2</v>
      </c>
      <c r="AD33" t="s">
        <v>286</v>
      </c>
      <c r="AE33" s="16">
        <f>AC33+AC34+AC35+AC36+AC37+AC40+AC41+AC43</f>
        <v>0.42411924119241184</v>
      </c>
      <c r="AF33">
        <f>AE33*$N$36</f>
        <v>52.166666666666671</v>
      </c>
      <c r="AG33" s="32" t="s">
        <v>336</v>
      </c>
      <c r="AH33" t="s">
        <v>355</v>
      </c>
      <c r="AI33" s="16">
        <f>R38</f>
        <v>8.0882352941176475E-2</v>
      </c>
      <c r="AJ33" t="s">
        <v>286</v>
      </c>
      <c r="AK33" s="16">
        <f>AI34+AI36+AI37+AI38+AI39+AI43+AI44+AI47+AI48+AI49+AI50</f>
        <v>0.8216911764705882</v>
      </c>
      <c r="AL33">
        <f t="shared" ref="AL33:AL38" si="26">AK33*$N$41</f>
        <v>111.75</v>
      </c>
      <c r="AM33" s="32" t="s">
        <v>439</v>
      </c>
      <c r="AN33" t="s">
        <v>443</v>
      </c>
      <c r="AO33">
        <f>Q43/3</f>
        <v>0.2078272604588394</v>
      </c>
      <c r="AP33" t="s">
        <v>286</v>
      </c>
      <c r="AQ33" s="16">
        <f>SUM(AO39:AO42)+SUM(AO44:AO47)</f>
        <v>0.22267206477732793</v>
      </c>
      <c r="AR33">
        <f>AQ33*$N$46</f>
        <v>27.5</v>
      </c>
      <c r="AV33" s="21" t="s">
        <v>317</v>
      </c>
      <c r="AW33" s="20">
        <v>2</v>
      </c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>
        <v>1</v>
      </c>
      <c r="BJ33" s="20"/>
      <c r="BK33" s="20"/>
      <c r="BL33" s="20"/>
      <c r="BM33">
        <f t="shared" si="23"/>
        <v>3</v>
      </c>
      <c r="BO33" s="32" t="s">
        <v>316</v>
      </c>
      <c r="BP33" t="s">
        <v>286</v>
      </c>
      <c r="BS33" t="s">
        <v>319</v>
      </c>
      <c r="BT33" t="s">
        <v>286</v>
      </c>
      <c r="BY33" s="44"/>
      <c r="CA33" t="s">
        <v>383</v>
      </c>
      <c r="CB33" t="s">
        <v>369</v>
      </c>
      <c r="CJ33" t="s">
        <v>444</v>
      </c>
      <c r="CK33" s="38" t="s">
        <v>445</v>
      </c>
    </row>
    <row r="34" spans="4:89" ht="15.95">
      <c r="E34" s="13" t="s">
        <v>11</v>
      </c>
      <c r="F34" s="13">
        <v>11.666666666666666</v>
      </c>
      <c r="G34" s="18">
        <v>0.33333333333333331</v>
      </c>
      <c r="H34" s="18">
        <v>0.33333333333333331</v>
      </c>
      <c r="I34" s="13">
        <v>0</v>
      </c>
      <c r="J34" s="13">
        <v>6</v>
      </c>
      <c r="K34" s="18">
        <v>0.33333333333333331</v>
      </c>
      <c r="L34" s="13">
        <v>0</v>
      </c>
      <c r="M34" s="13">
        <v>0</v>
      </c>
      <c r="N34">
        <v>18.666666666666668</v>
      </c>
      <c r="P34" s="13" t="s">
        <v>11</v>
      </c>
      <c r="Q34" s="15">
        <f t="shared" ref="Q34:Q35" si="27">F34/$N$36</f>
        <v>9.485094850948507E-2</v>
      </c>
      <c r="R34" s="15">
        <f t="shared" si="25"/>
        <v>2.7100271002710018E-3</v>
      </c>
      <c r="S34" s="15">
        <f t="shared" si="25"/>
        <v>2.7100271002710018E-3</v>
      </c>
      <c r="T34" s="15">
        <f t="shared" si="25"/>
        <v>0</v>
      </c>
      <c r="U34" s="15">
        <f t="shared" si="25"/>
        <v>4.8780487804878037E-2</v>
      </c>
      <c r="V34" s="15">
        <f t="shared" si="25"/>
        <v>2.7100271002710018E-3</v>
      </c>
      <c r="W34" s="15">
        <f t="shared" si="25"/>
        <v>0</v>
      </c>
      <c r="X34" s="15">
        <f t="shared" si="25"/>
        <v>0</v>
      </c>
      <c r="Y34" s="15">
        <f t="shared" si="25"/>
        <v>0.15176151761517612</v>
      </c>
      <c r="AA34" t="s">
        <v>446</v>
      </c>
      <c r="AB34" t="s">
        <v>286</v>
      </c>
      <c r="AC34">
        <f>T33/2</f>
        <v>1.0840108401084007E-2</v>
      </c>
      <c r="AD34" t="s">
        <v>296</v>
      </c>
      <c r="AE34">
        <f>AC42</f>
        <v>0.25609756097560971</v>
      </c>
      <c r="AF34">
        <f t="shared" ref="AF34:AF36" si="28">AE34*$N$36</f>
        <v>31.5</v>
      </c>
      <c r="AG34" s="32" t="s">
        <v>322</v>
      </c>
      <c r="AH34" t="s">
        <v>286</v>
      </c>
      <c r="AI34">
        <f>R39/2</f>
        <v>7.3529411764705881E-3</v>
      </c>
      <c r="AJ34" t="s">
        <v>283</v>
      </c>
      <c r="AK34">
        <f>AI35+AI46</f>
        <v>2.2058823529411763E-2</v>
      </c>
      <c r="AL34">
        <f t="shared" si="26"/>
        <v>2.9999999999999996</v>
      </c>
      <c r="AM34" s="32" t="s">
        <v>439</v>
      </c>
      <c r="AN34" t="s">
        <v>447</v>
      </c>
      <c r="AO34">
        <f>Q43/3</f>
        <v>0.2078272604588394</v>
      </c>
      <c r="AP34" t="s">
        <v>296</v>
      </c>
      <c r="AQ34">
        <f>AO35+AO38</f>
        <v>0.24831309041835356</v>
      </c>
      <c r="AR34">
        <f t="shared" ref="AR34:AR37" si="29">AQ34*$N$46</f>
        <v>30.666666666666664</v>
      </c>
      <c r="AV34" s="20" t="s">
        <v>320</v>
      </c>
      <c r="AW34" s="20"/>
      <c r="AX34" s="20"/>
      <c r="AY34" s="20"/>
      <c r="AZ34" s="20"/>
      <c r="BA34" s="20"/>
      <c r="BB34" s="20">
        <v>1</v>
      </c>
      <c r="BC34" s="20"/>
      <c r="BD34" s="20">
        <v>1</v>
      </c>
      <c r="BE34" s="20"/>
      <c r="BF34" s="20"/>
      <c r="BG34" s="20"/>
      <c r="BH34" s="20"/>
      <c r="BI34" s="20"/>
      <c r="BJ34" s="20"/>
      <c r="BK34" s="20"/>
      <c r="BL34" s="20"/>
      <c r="BM34">
        <f t="shared" si="23"/>
        <v>2</v>
      </c>
      <c r="BO34" s="32" t="s">
        <v>316</v>
      </c>
      <c r="BP34" t="s">
        <v>286</v>
      </c>
      <c r="BS34" t="s">
        <v>319</v>
      </c>
      <c r="BT34" t="s">
        <v>329</v>
      </c>
      <c r="BY34" s="44"/>
      <c r="CA34" t="s">
        <v>385</v>
      </c>
      <c r="CB34" t="s">
        <v>286</v>
      </c>
      <c r="CJ34" t="s">
        <v>448</v>
      </c>
      <c r="CK34" t="s">
        <v>286</v>
      </c>
    </row>
    <row r="35" spans="4:89" ht="15.95">
      <c r="E35" t="s">
        <v>12</v>
      </c>
      <c r="F35" s="13">
        <v>4.666666666666667</v>
      </c>
      <c r="G35" s="13">
        <v>0</v>
      </c>
      <c r="H35" s="13">
        <v>0</v>
      </c>
      <c r="I35" s="13">
        <v>0</v>
      </c>
      <c r="J35" s="13">
        <v>20.666666666666668</v>
      </c>
      <c r="K35" s="13">
        <v>0</v>
      </c>
      <c r="L35" s="13">
        <v>0</v>
      </c>
      <c r="M35" s="13">
        <v>0</v>
      </c>
      <c r="N35">
        <v>25.333333333333336</v>
      </c>
      <c r="P35" t="s">
        <v>12</v>
      </c>
      <c r="Q35" s="15">
        <f t="shared" si="27"/>
        <v>3.7940379403794029E-2</v>
      </c>
      <c r="R35" s="15">
        <f t="shared" si="25"/>
        <v>0</v>
      </c>
      <c r="S35" s="15">
        <f t="shared" si="25"/>
        <v>0</v>
      </c>
      <c r="T35" s="15">
        <f t="shared" si="25"/>
        <v>0</v>
      </c>
      <c r="U35" s="15">
        <f t="shared" si="25"/>
        <v>0.16802168021680214</v>
      </c>
      <c r="V35" s="15">
        <f t="shared" si="25"/>
        <v>0</v>
      </c>
      <c r="W35" s="15">
        <f t="shared" si="25"/>
        <v>0</v>
      </c>
      <c r="X35" s="15">
        <f t="shared" si="25"/>
        <v>0</v>
      </c>
      <c r="Y35" s="15">
        <f t="shared" si="25"/>
        <v>0.20596205962059619</v>
      </c>
      <c r="AA35" t="s">
        <v>449</v>
      </c>
      <c r="AB35" t="s">
        <v>286</v>
      </c>
      <c r="AC35" s="16">
        <f>S33</f>
        <v>1.6260162601626011E-2</v>
      </c>
      <c r="AD35" t="s">
        <v>327</v>
      </c>
      <c r="AE35" s="16">
        <f>AC39</f>
        <v>0.16802168021680214</v>
      </c>
      <c r="AF35">
        <f t="shared" si="28"/>
        <v>20.666666666666668</v>
      </c>
      <c r="AG35" s="32" t="s">
        <v>322</v>
      </c>
      <c r="AH35" t="s">
        <v>283</v>
      </c>
      <c r="AI35">
        <f>R39/2</f>
        <v>7.3529411764705881E-3</v>
      </c>
      <c r="AJ35" t="s">
        <v>296</v>
      </c>
      <c r="AK35">
        <f>AI40</f>
        <v>9.1911764705882356E-3</v>
      </c>
      <c r="AL35">
        <f t="shared" si="26"/>
        <v>1.25</v>
      </c>
      <c r="AM35" s="32" t="s">
        <v>439</v>
      </c>
      <c r="AN35" t="s">
        <v>296</v>
      </c>
      <c r="AO35">
        <f>Q43/3</f>
        <v>0.2078272604588394</v>
      </c>
      <c r="AP35" t="s">
        <v>321</v>
      </c>
      <c r="AQ35">
        <f>AO37</f>
        <v>3.2388663967611336E-2</v>
      </c>
      <c r="AR35">
        <f t="shared" si="29"/>
        <v>4</v>
      </c>
      <c r="AV35" s="20" t="s">
        <v>314</v>
      </c>
      <c r="AW35" s="20"/>
      <c r="AX35" s="20"/>
      <c r="AY35" s="20"/>
      <c r="AZ35" s="20">
        <v>1</v>
      </c>
      <c r="BA35" s="20"/>
      <c r="BB35" s="20"/>
      <c r="BC35" s="20"/>
      <c r="BD35" s="20"/>
      <c r="BE35" s="20">
        <v>1</v>
      </c>
      <c r="BF35" s="20"/>
      <c r="BG35" s="20"/>
      <c r="BH35" s="20"/>
      <c r="BI35" s="20"/>
      <c r="BJ35" s="20"/>
      <c r="BK35" s="20"/>
      <c r="BL35" s="20"/>
      <c r="BM35">
        <f t="shared" si="23"/>
        <v>2</v>
      </c>
      <c r="BO35" s="32" t="s">
        <v>439</v>
      </c>
      <c r="BP35" t="s">
        <v>443</v>
      </c>
      <c r="BY35" s="44"/>
      <c r="CA35" t="s">
        <v>450</v>
      </c>
      <c r="CB35" s="38" t="s">
        <v>451</v>
      </c>
      <c r="CJ35" t="s">
        <v>452</v>
      </c>
      <c r="CK35" t="s">
        <v>396</v>
      </c>
    </row>
    <row r="36" spans="4:89">
      <c r="N36">
        <v>123.00000000000003</v>
      </c>
      <c r="Y36" s="16">
        <f t="shared" ref="Y36" si="30">SUM(Y33,Y34,Y35)</f>
        <v>0.99999999999999989</v>
      </c>
      <c r="AA36" t="s">
        <v>453</v>
      </c>
      <c r="AB36" t="s">
        <v>286</v>
      </c>
      <c r="AC36">
        <f>T33/2</f>
        <v>1.0840108401084007E-2</v>
      </c>
      <c r="AD36" t="s">
        <v>398</v>
      </c>
      <c r="AE36" s="16">
        <f>AC38</f>
        <v>9.485094850948507E-2</v>
      </c>
      <c r="AF36">
        <f t="shared" si="28"/>
        <v>11.666666666666666</v>
      </c>
      <c r="AG36" s="32" t="s">
        <v>309</v>
      </c>
      <c r="AH36" t="s">
        <v>286</v>
      </c>
      <c r="AI36">
        <f>T38/2</f>
        <v>3.860294117647059E-2</v>
      </c>
      <c r="AJ36" t="s">
        <v>321</v>
      </c>
      <c r="AK36" s="16">
        <f>AI42+AI41</f>
        <v>2.5735294117647058E-2</v>
      </c>
      <c r="AL36">
        <f t="shared" si="26"/>
        <v>3.5</v>
      </c>
      <c r="AM36" s="32" t="s">
        <v>405</v>
      </c>
      <c r="AN36" t="s">
        <v>412</v>
      </c>
      <c r="AO36">
        <f>Q44/2</f>
        <v>3.2388663967611336E-2</v>
      </c>
      <c r="AP36" t="s">
        <v>398</v>
      </c>
      <c r="AQ36" s="16">
        <f>AO33+AO43</f>
        <v>0.22807017543859648</v>
      </c>
      <c r="AR36">
        <f t="shared" si="29"/>
        <v>28.166666666666664</v>
      </c>
      <c r="AV36" s="20" t="s">
        <v>283</v>
      </c>
      <c r="AW36" s="20">
        <v>2</v>
      </c>
      <c r="AX36" s="20">
        <v>1</v>
      </c>
      <c r="AY36" s="20">
        <v>1</v>
      </c>
      <c r="AZ36" s="20"/>
      <c r="BA36" s="20">
        <v>1</v>
      </c>
      <c r="BB36" s="20">
        <v>1</v>
      </c>
      <c r="BC36" s="20"/>
      <c r="BD36" s="20">
        <v>2</v>
      </c>
      <c r="BE36" s="20">
        <v>1</v>
      </c>
      <c r="BF36" s="20">
        <v>1</v>
      </c>
      <c r="BG36" s="20">
        <v>1</v>
      </c>
      <c r="BH36" s="20"/>
      <c r="BI36" s="20"/>
      <c r="BJ36" s="20"/>
      <c r="BK36" s="20"/>
      <c r="BL36" s="20"/>
      <c r="BM36">
        <f t="shared" si="23"/>
        <v>11</v>
      </c>
      <c r="BN36" t="s">
        <v>454</v>
      </c>
      <c r="BO36" s="32" t="s">
        <v>439</v>
      </c>
      <c r="BP36" t="s">
        <v>447</v>
      </c>
      <c r="BY36" s="44"/>
      <c r="CA36" t="s">
        <v>450</v>
      </c>
      <c r="CB36" t="s">
        <v>455</v>
      </c>
    </row>
    <row r="37" spans="4:89" ht="15.95">
      <c r="D37" t="s">
        <v>26</v>
      </c>
      <c r="E37" s="13" t="s">
        <v>101</v>
      </c>
      <c r="F37" t="s">
        <v>25</v>
      </c>
      <c r="G37" s="13" t="s">
        <v>14</v>
      </c>
      <c r="H37" t="s">
        <v>4</v>
      </c>
      <c r="I37" s="13" t="s">
        <v>5</v>
      </c>
      <c r="J37" s="13" t="s">
        <v>6</v>
      </c>
      <c r="K37" s="13" t="s">
        <v>7</v>
      </c>
      <c r="L37" s="13" t="s">
        <v>8</v>
      </c>
      <c r="M37" t="s">
        <v>9</v>
      </c>
      <c r="O37" t="s">
        <v>341</v>
      </c>
      <c r="P37" s="13" t="s">
        <v>101</v>
      </c>
      <c r="Q37" t="s">
        <v>25</v>
      </c>
      <c r="R37" s="13" t="s">
        <v>14</v>
      </c>
      <c r="S37" t="s">
        <v>4</v>
      </c>
      <c r="T37" s="13" t="s">
        <v>5</v>
      </c>
      <c r="U37" s="13" t="s">
        <v>6</v>
      </c>
      <c r="V37" s="13" t="s">
        <v>7</v>
      </c>
      <c r="W37" s="13" t="s">
        <v>8</v>
      </c>
      <c r="X37" t="s">
        <v>9</v>
      </c>
      <c r="AA37" t="s">
        <v>424</v>
      </c>
      <c r="AB37" t="s">
        <v>286</v>
      </c>
      <c r="AC37" s="16">
        <f>U34</f>
        <v>4.8780487804878037E-2</v>
      </c>
      <c r="AE37" s="16">
        <f>SUM(AE33:AE36)</f>
        <v>0.94308943089430874</v>
      </c>
      <c r="AF37">
        <f>SUM(AF33:AF36)</f>
        <v>116.00000000000001</v>
      </c>
      <c r="AG37" s="32" t="s">
        <v>309</v>
      </c>
      <c r="AH37" t="s">
        <v>286</v>
      </c>
      <c r="AI37">
        <f>T38/2</f>
        <v>3.860294117647059E-2</v>
      </c>
      <c r="AJ37" t="s">
        <v>398</v>
      </c>
      <c r="AK37" s="16">
        <f>AI33</f>
        <v>8.0882352941176475E-2</v>
      </c>
      <c r="AL37">
        <f t="shared" si="26"/>
        <v>11</v>
      </c>
      <c r="AM37" s="32" t="s">
        <v>405</v>
      </c>
      <c r="AN37" t="s">
        <v>338</v>
      </c>
      <c r="AO37">
        <f>Q44/2</f>
        <v>3.2388663967611336E-2</v>
      </c>
      <c r="AP37" t="s">
        <v>330</v>
      </c>
      <c r="AQ37">
        <f>AO34+AO36</f>
        <v>0.24021592442645073</v>
      </c>
      <c r="AR37">
        <f t="shared" si="29"/>
        <v>29.666666666666664</v>
      </c>
      <c r="AV37" s="20" t="s">
        <v>328</v>
      </c>
      <c r="AW37" s="20"/>
      <c r="AX37" s="20">
        <v>1</v>
      </c>
      <c r="AY37" s="20">
        <v>1</v>
      </c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>
        <f t="shared" si="23"/>
        <v>2</v>
      </c>
      <c r="BO37" s="32" t="s">
        <v>439</v>
      </c>
      <c r="BP37" t="s">
        <v>296</v>
      </c>
      <c r="BS37" s="2">
        <v>10</v>
      </c>
      <c r="BW37" s="2">
        <v>13</v>
      </c>
      <c r="BY37" s="44"/>
      <c r="CA37" t="s">
        <v>456</v>
      </c>
      <c r="CB37" t="s">
        <v>283</v>
      </c>
    </row>
    <row r="38" spans="4:89" ht="15.95">
      <c r="E38" s="13" t="s">
        <v>10</v>
      </c>
      <c r="F38" s="13">
        <v>84.5</v>
      </c>
      <c r="G38" s="13">
        <v>11</v>
      </c>
      <c r="H38" s="18">
        <v>1.5</v>
      </c>
      <c r="I38" s="13">
        <v>10.5</v>
      </c>
      <c r="J38" s="13">
        <v>3</v>
      </c>
      <c r="K38" s="13">
        <v>1</v>
      </c>
      <c r="L38" s="13">
        <v>4</v>
      </c>
      <c r="M38" s="18">
        <v>2</v>
      </c>
      <c r="N38">
        <v>117.5</v>
      </c>
      <c r="P38" s="13" t="s">
        <v>10</v>
      </c>
      <c r="Q38" s="15">
        <f>F38/$N$41</f>
        <v>0.62132352941176472</v>
      </c>
      <c r="R38" s="15">
        <f t="shared" ref="R38:Y40" si="31">G38/$N$41</f>
        <v>8.0882352941176475E-2</v>
      </c>
      <c r="S38" s="15">
        <f t="shared" si="31"/>
        <v>1.1029411764705883E-2</v>
      </c>
      <c r="T38" s="15">
        <f t="shared" si="31"/>
        <v>7.720588235294118E-2</v>
      </c>
      <c r="U38" s="15">
        <f t="shared" si="31"/>
        <v>2.2058823529411766E-2</v>
      </c>
      <c r="V38" s="15">
        <f t="shared" si="31"/>
        <v>7.3529411764705881E-3</v>
      </c>
      <c r="W38" s="15">
        <f t="shared" si="31"/>
        <v>2.9411764705882353E-2</v>
      </c>
      <c r="X38" s="15">
        <f t="shared" si="31"/>
        <v>1.4705882352941176E-2</v>
      </c>
      <c r="Y38" s="15">
        <f t="shared" si="31"/>
        <v>0.86397058823529416</v>
      </c>
      <c r="AA38" t="s">
        <v>358</v>
      </c>
      <c r="AB38" t="s">
        <v>393</v>
      </c>
      <c r="AC38" s="16">
        <f>Q34</f>
        <v>9.485094850948507E-2</v>
      </c>
      <c r="AG38" s="32" t="s">
        <v>348</v>
      </c>
      <c r="AH38" t="s">
        <v>286</v>
      </c>
      <c r="AI38" s="16">
        <f>U38</f>
        <v>2.2058823529411766E-2</v>
      </c>
      <c r="AJ38" t="s">
        <v>330</v>
      </c>
      <c r="AK38">
        <f>AI45</f>
        <v>1.4705882352941176E-2</v>
      </c>
      <c r="AL38">
        <f t="shared" si="26"/>
        <v>2</v>
      </c>
      <c r="AM38" s="32" t="s">
        <v>336</v>
      </c>
      <c r="AN38" t="s">
        <v>296</v>
      </c>
      <c r="AO38">
        <f>R43/2</f>
        <v>4.048582995951417E-2</v>
      </c>
      <c r="AQ38" s="16">
        <f>SUM(AQ33:AQ37)</f>
        <v>0.97165991902834015</v>
      </c>
      <c r="AR38" s="16">
        <f>SUM(AR33:AR37)</f>
        <v>120</v>
      </c>
      <c r="AV38" s="20" t="s">
        <v>371</v>
      </c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>
        <f t="shared" si="23"/>
        <v>0</v>
      </c>
      <c r="BO38" s="32" t="s">
        <v>439</v>
      </c>
      <c r="BP38" t="s">
        <v>286</v>
      </c>
      <c r="BS38" t="s">
        <v>424</v>
      </c>
      <c r="BT38" t="s">
        <v>286</v>
      </c>
      <c r="BW38" s="32" t="s">
        <v>342</v>
      </c>
      <c r="BX38" t="s">
        <v>286</v>
      </c>
      <c r="BY38" s="44"/>
      <c r="CA38" t="s">
        <v>457</v>
      </c>
      <c r="CB38" t="s">
        <v>343</v>
      </c>
    </row>
    <row r="39" spans="4:89" ht="15.95">
      <c r="E39" s="13" t="s">
        <v>11</v>
      </c>
      <c r="F39" s="13">
        <v>8</v>
      </c>
      <c r="G39" s="13">
        <v>2</v>
      </c>
      <c r="H39" s="13">
        <v>0</v>
      </c>
      <c r="I39" s="13">
        <v>0</v>
      </c>
      <c r="J39" s="13">
        <v>2.5</v>
      </c>
      <c r="K39" s="13">
        <v>0.5</v>
      </c>
      <c r="L39" s="13">
        <v>0.5</v>
      </c>
      <c r="M39" s="13">
        <v>0</v>
      </c>
      <c r="N39">
        <v>13.5</v>
      </c>
      <c r="P39" s="13" t="s">
        <v>11</v>
      </c>
      <c r="Q39" s="15">
        <f t="shared" ref="Q39:Q40" si="32">F39/$N$41</f>
        <v>5.8823529411764705E-2</v>
      </c>
      <c r="R39" s="15">
        <f t="shared" si="31"/>
        <v>1.4705882352941176E-2</v>
      </c>
      <c r="S39" s="15">
        <f t="shared" si="31"/>
        <v>0</v>
      </c>
      <c r="T39" s="15">
        <f t="shared" si="31"/>
        <v>0</v>
      </c>
      <c r="U39" s="15">
        <f t="shared" si="31"/>
        <v>1.8382352941176471E-2</v>
      </c>
      <c r="V39" s="15">
        <f t="shared" si="31"/>
        <v>3.6764705882352941E-3</v>
      </c>
      <c r="W39" s="15">
        <f>L39/$N$41</f>
        <v>3.6764705882352941E-3</v>
      </c>
      <c r="X39" s="15">
        <f t="shared" si="31"/>
        <v>0</v>
      </c>
      <c r="Y39" s="15">
        <f t="shared" si="31"/>
        <v>9.9264705882352935E-2</v>
      </c>
      <c r="AA39" t="s">
        <v>425</v>
      </c>
      <c r="AB39" t="s">
        <v>312</v>
      </c>
      <c r="AC39" s="16">
        <f>U35</f>
        <v>0.16802168021680214</v>
      </c>
      <c r="AG39" s="32" t="s">
        <v>359</v>
      </c>
      <c r="AH39" t="s">
        <v>286</v>
      </c>
      <c r="AI39">
        <f>U39/2</f>
        <v>9.1911764705882356E-3</v>
      </c>
      <c r="AK39" s="16">
        <f>SUM(AK33:AK38)</f>
        <v>0.97426470588235292</v>
      </c>
      <c r="AL39" s="34">
        <f>SUM(AL33:AL38)</f>
        <v>132.5</v>
      </c>
      <c r="AM39" s="32" t="s">
        <v>336</v>
      </c>
      <c r="AN39" t="s">
        <v>286</v>
      </c>
      <c r="AO39">
        <f>R43/2</f>
        <v>4.048582995951417E-2</v>
      </c>
      <c r="AV39" s="20" t="s">
        <v>372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>
        <f t="shared" si="23"/>
        <v>0</v>
      </c>
      <c r="BO39" s="32" t="s">
        <v>439</v>
      </c>
      <c r="BP39" t="s">
        <v>364</v>
      </c>
      <c r="BS39" t="s">
        <v>359</v>
      </c>
      <c r="BT39" t="s">
        <v>286</v>
      </c>
      <c r="BW39" t="s">
        <v>418</v>
      </c>
      <c r="BX39" t="s">
        <v>329</v>
      </c>
      <c r="BY39" s="44"/>
      <c r="CA39" t="s">
        <v>458</v>
      </c>
      <c r="CB39" t="s">
        <v>283</v>
      </c>
    </row>
    <row r="40" spans="4:89" ht="15.95">
      <c r="E40" t="s">
        <v>12</v>
      </c>
      <c r="F40" s="13">
        <v>2.5</v>
      </c>
      <c r="G40" s="13">
        <v>0</v>
      </c>
      <c r="H40" s="13">
        <v>0</v>
      </c>
      <c r="I40" s="13">
        <v>0</v>
      </c>
      <c r="J40" s="13">
        <v>2.5</v>
      </c>
      <c r="K40" s="13">
        <v>0</v>
      </c>
      <c r="L40" s="13">
        <v>0</v>
      </c>
      <c r="M40" s="13">
        <v>0</v>
      </c>
      <c r="N40">
        <v>5</v>
      </c>
      <c r="P40" t="s">
        <v>12</v>
      </c>
      <c r="Q40" s="15">
        <f t="shared" si="32"/>
        <v>1.8382352941176471E-2</v>
      </c>
      <c r="R40" s="15">
        <f t="shared" si="31"/>
        <v>0</v>
      </c>
      <c r="S40" s="15">
        <f t="shared" si="31"/>
        <v>0</v>
      </c>
      <c r="T40" s="15">
        <f t="shared" si="31"/>
        <v>0</v>
      </c>
      <c r="U40" s="15">
        <f t="shared" si="31"/>
        <v>1.8382352941176471E-2</v>
      </c>
      <c r="V40" s="15">
        <f t="shared" si="31"/>
        <v>0</v>
      </c>
      <c r="W40" s="15">
        <f t="shared" si="31"/>
        <v>0</v>
      </c>
      <c r="X40" s="15">
        <f t="shared" si="31"/>
        <v>0</v>
      </c>
      <c r="Y40" s="15">
        <f t="shared" si="31"/>
        <v>3.6764705882352942E-2</v>
      </c>
      <c r="AA40" t="s">
        <v>399</v>
      </c>
      <c r="AB40" t="s">
        <v>286</v>
      </c>
      <c r="AC40" s="16">
        <f>Q35</f>
        <v>3.7940379403794029E-2</v>
      </c>
      <c r="AG40" s="32" t="s">
        <v>359</v>
      </c>
      <c r="AH40" t="s">
        <v>296</v>
      </c>
      <c r="AI40">
        <f>U39/2</f>
        <v>9.1911764705882356E-3</v>
      </c>
      <c r="AM40" s="32" t="s">
        <v>322</v>
      </c>
      <c r="AN40" t="s">
        <v>286</v>
      </c>
      <c r="AO40" s="16">
        <f>R44</f>
        <v>1.6194331983805668E-2</v>
      </c>
      <c r="AV40" s="20" t="s">
        <v>373</v>
      </c>
      <c r="AW40" s="20"/>
      <c r="AX40" s="20"/>
      <c r="AY40" s="20"/>
      <c r="AZ40" s="20"/>
      <c r="BA40" s="20"/>
      <c r="BB40" s="20"/>
      <c r="BC40" s="20"/>
      <c r="BD40" s="20"/>
      <c r="BE40" s="20"/>
      <c r="BF40" s="20">
        <v>1</v>
      </c>
      <c r="BG40" s="20"/>
      <c r="BH40" s="20"/>
      <c r="BI40" s="20"/>
      <c r="BJ40" s="20"/>
      <c r="BK40" s="20"/>
      <c r="BL40" s="20"/>
      <c r="BM40">
        <f t="shared" si="23"/>
        <v>1</v>
      </c>
      <c r="BO40" s="32" t="s">
        <v>439</v>
      </c>
      <c r="BP40" t="s">
        <v>286</v>
      </c>
      <c r="BS40" t="s">
        <v>359</v>
      </c>
      <c r="BT40" t="s">
        <v>286</v>
      </c>
      <c r="BW40" t="s">
        <v>425</v>
      </c>
      <c r="BX40" t="s">
        <v>312</v>
      </c>
      <c r="BY40" s="44"/>
      <c r="CA40" t="s">
        <v>344</v>
      </c>
      <c r="CB40" t="s">
        <v>355</v>
      </c>
    </row>
    <row r="41" spans="4:89">
      <c r="N41">
        <v>136</v>
      </c>
      <c r="Y41" s="16">
        <f t="shared" ref="Y41" si="33">SUM(Y38,Y39,Y40)</f>
        <v>1</v>
      </c>
      <c r="AA41" t="s">
        <v>459</v>
      </c>
      <c r="AB41" t="s">
        <v>286</v>
      </c>
      <c r="AC41" s="16">
        <f>V33</f>
        <v>2.1680216802168015E-2</v>
      </c>
      <c r="AG41" s="32" t="s">
        <v>360</v>
      </c>
      <c r="AH41" t="s">
        <v>338</v>
      </c>
      <c r="AI41" s="16">
        <f>U40</f>
        <v>1.8382352941176471E-2</v>
      </c>
      <c r="AM41" s="32" t="s">
        <v>349</v>
      </c>
      <c r="AN41" t="s">
        <v>286</v>
      </c>
      <c r="AO41" s="16">
        <f>T43/2</f>
        <v>3.4412955465587043E-2</v>
      </c>
      <c r="AV41" s="20" t="s">
        <v>312</v>
      </c>
      <c r="AW41" s="20">
        <v>1</v>
      </c>
      <c r="AX41" s="20"/>
      <c r="AY41" s="20">
        <v>1</v>
      </c>
      <c r="AZ41" s="20">
        <v>1</v>
      </c>
      <c r="BA41" s="20">
        <v>1</v>
      </c>
      <c r="BB41" s="20"/>
      <c r="BC41" s="20"/>
      <c r="BD41" s="20"/>
      <c r="BE41" s="20">
        <v>1</v>
      </c>
      <c r="BF41" s="20">
        <v>3</v>
      </c>
      <c r="BG41" s="20"/>
      <c r="BH41" s="20"/>
      <c r="BI41" s="20"/>
      <c r="BJ41" s="20"/>
      <c r="BK41" s="20"/>
      <c r="BL41" s="20"/>
      <c r="BM41">
        <f t="shared" si="23"/>
        <v>8</v>
      </c>
      <c r="BO41" s="32" t="s">
        <v>316</v>
      </c>
      <c r="BP41" t="s">
        <v>286</v>
      </c>
      <c r="BS41" t="s">
        <v>416</v>
      </c>
      <c r="BT41" t="s">
        <v>417</v>
      </c>
      <c r="BW41" t="s">
        <v>360</v>
      </c>
      <c r="BX41" t="s">
        <v>312</v>
      </c>
      <c r="BY41" s="44"/>
      <c r="CA41" t="s">
        <v>460</v>
      </c>
      <c r="CB41" t="s">
        <v>461</v>
      </c>
    </row>
    <row r="42" spans="4:89" ht="15.95">
      <c r="D42" t="s">
        <v>26</v>
      </c>
      <c r="E42" s="13" t="s">
        <v>102</v>
      </c>
      <c r="F42" t="s">
        <v>25</v>
      </c>
      <c r="G42" s="13" t="s">
        <v>14</v>
      </c>
      <c r="H42" t="s">
        <v>4</v>
      </c>
      <c r="I42" s="13" t="s">
        <v>5</v>
      </c>
      <c r="J42" s="13" t="s">
        <v>6</v>
      </c>
      <c r="K42" s="13" t="s">
        <v>7</v>
      </c>
      <c r="L42" s="13" t="s">
        <v>8</v>
      </c>
      <c r="M42" t="s">
        <v>9</v>
      </c>
      <c r="O42" t="s">
        <v>341</v>
      </c>
      <c r="P42" s="13" t="s">
        <v>102</v>
      </c>
      <c r="Q42" t="s">
        <v>25</v>
      </c>
      <c r="R42" s="13" t="s">
        <v>14</v>
      </c>
      <c r="S42" t="s">
        <v>4</v>
      </c>
      <c r="T42" s="13" t="s">
        <v>5</v>
      </c>
      <c r="U42" s="13" t="s">
        <v>6</v>
      </c>
      <c r="V42" s="13" t="s">
        <v>7</v>
      </c>
      <c r="W42" s="13" t="s">
        <v>8</v>
      </c>
      <c r="X42" t="s">
        <v>9</v>
      </c>
      <c r="AA42" t="s">
        <v>316</v>
      </c>
      <c r="AB42" t="s">
        <v>411</v>
      </c>
      <c r="AC42">
        <f>Q33/2</f>
        <v>0.25609756097560971</v>
      </c>
      <c r="AG42" s="32" t="s">
        <v>462</v>
      </c>
      <c r="AH42" t="s">
        <v>321</v>
      </c>
      <c r="AI42" s="16">
        <f>V38</f>
        <v>7.3529411764705881E-3</v>
      </c>
      <c r="AM42" s="32" t="s">
        <v>349</v>
      </c>
      <c r="AN42" t="s">
        <v>286</v>
      </c>
      <c r="AO42">
        <f>T43/2</f>
        <v>3.4412955465587043E-2</v>
      </c>
      <c r="AV42" s="20" t="s">
        <v>382</v>
      </c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>
        <f t="shared" si="23"/>
        <v>0</v>
      </c>
      <c r="BO42" s="32" t="s">
        <v>316</v>
      </c>
      <c r="BP42" t="s">
        <v>463</v>
      </c>
      <c r="BS42" t="s">
        <v>359</v>
      </c>
      <c r="BT42" t="s">
        <v>286</v>
      </c>
      <c r="BW42" t="s">
        <v>360</v>
      </c>
      <c r="BX42" t="s">
        <v>338</v>
      </c>
      <c r="BY42" s="44"/>
      <c r="CA42" t="s">
        <v>460</v>
      </c>
      <c r="CB42" t="s">
        <v>464</v>
      </c>
    </row>
    <row r="43" spans="4:89" ht="15.95">
      <c r="E43" s="13" t="s">
        <v>10</v>
      </c>
      <c r="F43" s="13">
        <v>77</v>
      </c>
      <c r="G43" s="13">
        <v>10</v>
      </c>
      <c r="H43" s="13">
        <v>0</v>
      </c>
      <c r="I43" s="13">
        <v>8.5</v>
      </c>
      <c r="J43" s="13">
        <v>2.5</v>
      </c>
      <c r="K43" s="13">
        <v>0.5</v>
      </c>
      <c r="L43" s="18">
        <v>1</v>
      </c>
      <c r="M43" s="18">
        <v>2</v>
      </c>
      <c r="N43">
        <v>101.5</v>
      </c>
      <c r="P43" s="13" t="s">
        <v>10</v>
      </c>
      <c r="Q43" s="15">
        <f>F43/$N$46</f>
        <v>0.62348178137651822</v>
      </c>
      <c r="R43" s="15">
        <f t="shared" ref="R43:Y45" si="34">G43/$N$46</f>
        <v>8.0971659919028341E-2</v>
      </c>
      <c r="S43" s="15">
        <f t="shared" si="34"/>
        <v>0</v>
      </c>
      <c r="T43" s="15">
        <f t="shared" si="34"/>
        <v>6.8825910931174086E-2</v>
      </c>
      <c r="U43" s="15">
        <f t="shared" si="34"/>
        <v>2.0242914979757085E-2</v>
      </c>
      <c r="V43" s="15">
        <f t="shared" si="34"/>
        <v>4.048582995951417E-3</v>
      </c>
      <c r="W43" s="15">
        <f t="shared" si="34"/>
        <v>8.0971659919028341E-3</v>
      </c>
      <c r="X43" s="15">
        <f t="shared" si="34"/>
        <v>1.6194331983805668E-2</v>
      </c>
      <c r="Y43" s="15">
        <f t="shared" si="34"/>
        <v>0.82186234817813764</v>
      </c>
      <c r="AA43" t="s">
        <v>316</v>
      </c>
      <c r="AB43" t="s">
        <v>286</v>
      </c>
      <c r="AC43">
        <f>Q33/2</f>
        <v>0.25609756097560971</v>
      </c>
      <c r="AG43" s="32" t="s">
        <v>465</v>
      </c>
      <c r="AH43" t="s">
        <v>286</v>
      </c>
      <c r="AI43" s="16">
        <f>V39</f>
        <v>3.6764705882352941E-3</v>
      </c>
      <c r="AM43" s="32" t="s">
        <v>410</v>
      </c>
      <c r="AN43" t="s">
        <v>398</v>
      </c>
      <c r="AO43" s="16">
        <f>U43</f>
        <v>2.0242914979757085E-2</v>
      </c>
      <c r="AV43" s="20" t="s">
        <v>381</v>
      </c>
      <c r="AW43" s="20">
        <v>1</v>
      </c>
      <c r="AX43" s="20">
        <v>1</v>
      </c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>
        <f t="shared" si="23"/>
        <v>2</v>
      </c>
      <c r="BO43" s="32" t="s">
        <v>316</v>
      </c>
      <c r="BP43" t="s">
        <v>343</v>
      </c>
      <c r="BS43" t="s">
        <v>359</v>
      </c>
      <c r="BT43" t="s">
        <v>296</v>
      </c>
      <c r="BW43" t="s">
        <v>360</v>
      </c>
      <c r="BX43" t="s">
        <v>286</v>
      </c>
      <c r="BY43" s="44"/>
      <c r="CA43" t="s">
        <v>460</v>
      </c>
      <c r="CB43" t="s">
        <v>466</v>
      </c>
    </row>
    <row r="44" spans="4:89" ht="15.95">
      <c r="E44" s="13" t="s">
        <v>11</v>
      </c>
      <c r="F44" s="13">
        <v>8</v>
      </c>
      <c r="G44" s="13">
        <v>2</v>
      </c>
      <c r="H44" s="13">
        <v>0</v>
      </c>
      <c r="I44" s="13">
        <v>0</v>
      </c>
      <c r="J44" s="18">
        <v>0.5</v>
      </c>
      <c r="K44" s="13">
        <v>0</v>
      </c>
      <c r="L44" s="13">
        <v>0.5</v>
      </c>
      <c r="M44" s="13">
        <v>0</v>
      </c>
      <c r="N44">
        <v>11</v>
      </c>
      <c r="P44" s="13" t="s">
        <v>11</v>
      </c>
      <c r="Q44" s="15">
        <f t="shared" ref="Q44:Q45" si="35">F44/$N$46</f>
        <v>6.4777327935222673E-2</v>
      </c>
      <c r="R44" s="15">
        <f t="shared" si="34"/>
        <v>1.6194331983805668E-2</v>
      </c>
      <c r="S44" s="15">
        <f t="shared" si="34"/>
        <v>0</v>
      </c>
      <c r="T44" s="15">
        <f t="shared" si="34"/>
        <v>0</v>
      </c>
      <c r="U44" s="15">
        <f t="shared" si="34"/>
        <v>4.048582995951417E-3</v>
      </c>
      <c r="V44" s="15">
        <f t="shared" si="34"/>
        <v>0</v>
      </c>
      <c r="W44" s="15">
        <f t="shared" si="34"/>
        <v>4.048582995951417E-3</v>
      </c>
      <c r="X44" s="15">
        <f t="shared" si="34"/>
        <v>0</v>
      </c>
      <c r="Y44" s="15">
        <f t="shared" si="34"/>
        <v>8.9068825910931168E-2</v>
      </c>
      <c r="AC44" s="16">
        <f>SUM(AC33:AC43)</f>
        <v>0.94308943089430874</v>
      </c>
      <c r="AG44" s="32" t="s">
        <v>467</v>
      </c>
      <c r="AH44" t="s">
        <v>286</v>
      </c>
      <c r="AI44" s="16">
        <f>W39</f>
        <v>3.6764705882352941E-3</v>
      </c>
      <c r="AM44" s="32" t="s">
        <v>459</v>
      </c>
      <c r="AN44" t="s">
        <v>286</v>
      </c>
      <c r="AO44" s="16">
        <f>V43</f>
        <v>4.048582995951417E-3</v>
      </c>
      <c r="AV44" s="20" t="s">
        <v>389</v>
      </c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>
        <f t="shared" si="23"/>
        <v>0</v>
      </c>
      <c r="BO44" s="32" t="s">
        <v>285</v>
      </c>
      <c r="BP44" t="s">
        <v>286</v>
      </c>
      <c r="BS44" t="s">
        <v>359</v>
      </c>
      <c r="BT44" t="s">
        <v>366</v>
      </c>
      <c r="BW44" t="s">
        <v>360</v>
      </c>
      <c r="BX44" t="s">
        <v>286</v>
      </c>
      <c r="BY44" s="44"/>
    </row>
    <row r="45" spans="4:89" ht="15.95">
      <c r="E45" t="s">
        <v>12</v>
      </c>
      <c r="F45" s="13">
        <v>1</v>
      </c>
      <c r="G45" s="13">
        <v>0</v>
      </c>
      <c r="H45" s="13">
        <v>0</v>
      </c>
      <c r="I45" s="13">
        <v>0</v>
      </c>
      <c r="J45" s="13">
        <v>10</v>
      </c>
      <c r="K45" s="13">
        <v>0</v>
      </c>
      <c r="L45" s="13">
        <v>0</v>
      </c>
      <c r="M45" s="13">
        <v>0</v>
      </c>
      <c r="N45">
        <v>11</v>
      </c>
      <c r="P45" t="s">
        <v>12</v>
      </c>
      <c r="Q45" s="15">
        <f t="shared" si="35"/>
        <v>8.0971659919028341E-3</v>
      </c>
      <c r="R45" s="15">
        <f t="shared" si="34"/>
        <v>0</v>
      </c>
      <c r="S45" s="15">
        <f t="shared" si="34"/>
        <v>0</v>
      </c>
      <c r="T45" s="15">
        <f t="shared" si="34"/>
        <v>0</v>
      </c>
      <c r="U45" s="15">
        <f t="shared" si="34"/>
        <v>8.0971659919028341E-2</v>
      </c>
      <c r="V45" s="15">
        <f t="shared" si="34"/>
        <v>0</v>
      </c>
      <c r="W45" s="15">
        <f t="shared" si="34"/>
        <v>0</v>
      </c>
      <c r="X45" s="15">
        <f t="shared" si="34"/>
        <v>0</v>
      </c>
      <c r="Y45" s="15">
        <f t="shared" si="34"/>
        <v>8.9068825910931168E-2</v>
      </c>
      <c r="AG45" s="32" t="s">
        <v>468</v>
      </c>
      <c r="AH45" s="17" t="s">
        <v>469</v>
      </c>
      <c r="AI45" s="17">
        <f>W38/2</f>
        <v>1.4705882352941176E-2</v>
      </c>
      <c r="AM45" s="32" t="s">
        <v>470</v>
      </c>
      <c r="AN45" t="s">
        <v>286</v>
      </c>
      <c r="AO45" s="16">
        <f>W44</f>
        <v>4.048582995951417E-3</v>
      </c>
      <c r="AV45" s="20" t="s">
        <v>392</v>
      </c>
      <c r="AW45" s="20">
        <v>2</v>
      </c>
      <c r="AX45" s="20">
        <v>1</v>
      </c>
      <c r="AY45" s="20"/>
      <c r="AZ45" s="20"/>
      <c r="BA45" s="20"/>
      <c r="BB45" s="20">
        <v>1</v>
      </c>
      <c r="BC45" s="20"/>
      <c r="BD45" s="20"/>
      <c r="BE45" s="20"/>
      <c r="BF45" s="20"/>
      <c r="BG45" s="20">
        <v>2</v>
      </c>
      <c r="BH45" s="20"/>
      <c r="BI45" s="20">
        <v>2</v>
      </c>
      <c r="BJ45" s="20"/>
      <c r="BK45" s="20"/>
      <c r="BL45" s="20"/>
      <c r="BM45">
        <f t="shared" si="23"/>
        <v>8</v>
      </c>
      <c r="BO45" s="32" t="s">
        <v>285</v>
      </c>
      <c r="BP45" t="s">
        <v>294</v>
      </c>
      <c r="BS45" t="s">
        <v>416</v>
      </c>
      <c r="BT45" t="s">
        <v>283</v>
      </c>
      <c r="BW45" t="s">
        <v>418</v>
      </c>
      <c r="BX45" t="s">
        <v>286</v>
      </c>
      <c r="BY45" s="44"/>
    </row>
    <row r="46" spans="4:89">
      <c r="N46">
        <v>123.5</v>
      </c>
      <c r="Y46" s="16">
        <f t="shared" ref="Y46" si="36">SUM(Y43,Y44,Y45)</f>
        <v>0.99999999999999989</v>
      </c>
      <c r="AG46" s="32" t="s">
        <v>468</v>
      </c>
      <c r="AH46" t="s">
        <v>283</v>
      </c>
      <c r="AI46">
        <f>W38/2</f>
        <v>1.4705882352941176E-2</v>
      </c>
      <c r="AM46" s="32" t="s">
        <v>347</v>
      </c>
      <c r="AN46" t="s">
        <v>286</v>
      </c>
      <c r="AO46" s="16">
        <f>Q45</f>
        <v>8.0971659919028341E-3</v>
      </c>
      <c r="AV46" s="20" t="s">
        <v>398</v>
      </c>
      <c r="AW46" s="20">
        <v>2</v>
      </c>
      <c r="AX46" s="20">
        <v>1</v>
      </c>
      <c r="AY46" s="20"/>
      <c r="AZ46" s="20">
        <v>1</v>
      </c>
      <c r="BA46" s="20"/>
      <c r="BB46" s="20"/>
      <c r="BC46" s="20"/>
      <c r="BD46" s="20">
        <v>1</v>
      </c>
      <c r="BE46" s="20"/>
      <c r="BF46" s="20"/>
      <c r="BG46" s="20">
        <v>1</v>
      </c>
      <c r="BH46" s="20"/>
      <c r="BI46" s="20"/>
      <c r="BJ46" s="20"/>
      <c r="BK46" s="20"/>
      <c r="BL46" s="20"/>
      <c r="BM46">
        <f t="shared" si="23"/>
        <v>6</v>
      </c>
      <c r="BO46" s="32" t="s">
        <v>285</v>
      </c>
      <c r="BP46" t="s">
        <v>286</v>
      </c>
      <c r="BS46" t="s">
        <v>416</v>
      </c>
      <c r="BT46" t="s">
        <v>404</v>
      </c>
      <c r="BW46" t="s">
        <v>418</v>
      </c>
      <c r="BX46" t="s">
        <v>361</v>
      </c>
      <c r="BY46" s="44"/>
    </row>
    <row r="47" spans="4:89" ht="15.95">
      <c r="D47" t="s">
        <v>26</v>
      </c>
      <c r="E47" s="13" t="s">
        <v>103</v>
      </c>
      <c r="F47" t="s">
        <v>25</v>
      </c>
      <c r="G47" s="13" t="s">
        <v>14</v>
      </c>
      <c r="H47" t="s">
        <v>4</v>
      </c>
      <c r="I47" s="13" t="s">
        <v>5</v>
      </c>
      <c r="J47" s="13" t="s">
        <v>6</v>
      </c>
      <c r="K47" s="13" t="s">
        <v>7</v>
      </c>
      <c r="L47" s="13" t="s">
        <v>8</v>
      </c>
      <c r="M47" t="s">
        <v>9</v>
      </c>
      <c r="O47" t="s">
        <v>341</v>
      </c>
      <c r="P47" s="13" t="s">
        <v>103</v>
      </c>
      <c r="Q47" t="s">
        <v>25</v>
      </c>
      <c r="R47" s="13" t="s">
        <v>14</v>
      </c>
      <c r="S47" t="s">
        <v>4</v>
      </c>
      <c r="T47" s="13" t="s">
        <v>5</v>
      </c>
      <c r="U47" s="13" t="s">
        <v>6</v>
      </c>
      <c r="V47" s="13" t="s">
        <v>7</v>
      </c>
      <c r="W47" s="13" t="s">
        <v>8</v>
      </c>
      <c r="X47" t="s">
        <v>9</v>
      </c>
      <c r="AG47" s="32" t="s">
        <v>370</v>
      </c>
      <c r="AH47" t="s">
        <v>286</v>
      </c>
      <c r="AI47" s="16">
        <f>Q40</f>
        <v>1.8382352941176471E-2</v>
      </c>
      <c r="AM47" s="33" t="s">
        <v>418</v>
      </c>
      <c r="AN47" t="s">
        <v>286</v>
      </c>
      <c r="AO47" s="16">
        <f>U45</f>
        <v>8.0971659919028341E-2</v>
      </c>
      <c r="AV47" s="20" t="s">
        <v>404</v>
      </c>
      <c r="AW47" s="20">
        <v>1</v>
      </c>
      <c r="AX47" s="20"/>
      <c r="AY47" s="20"/>
      <c r="AZ47" s="20"/>
      <c r="BA47" s="20"/>
      <c r="BB47" s="20"/>
      <c r="BC47" s="20"/>
      <c r="BD47" s="20"/>
      <c r="BE47" s="20">
        <v>1</v>
      </c>
      <c r="BF47" s="20"/>
      <c r="BG47" s="20"/>
      <c r="BH47" s="20"/>
      <c r="BI47" s="20"/>
      <c r="BJ47" s="20"/>
      <c r="BK47" s="20"/>
      <c r="BL47" s="20"/>
      <c r="BM47">
        <f t="shared" si="23"/>
        <v>2</v>
      </c>
      <c r="BO47" s="32" t="s">
        <v>285</v>
      </c>
      <c r="BP47" t="s">
        <v>287</v>
      </c>
      <c r="BS47" t="s">
        <v>415</v>
      </c>
      <c r="BT47" t="s">
        <v>314</v>
      </c>
      <c r="BW47" s="17" t="s">
        <v>418</v>
      </c>
      <c r="BX47" t="s">
        <v>286</v>
      </c>
      <c r="BY47" s="44"/>
    </row>
    <row r="48" spans="4:89" ht="15.95">
      <c r="E48" s="13" t="s">
        <v>10</v>
      </c>
      <c r="F48" s="13">
        <v>48</v>
      </c>
      <c r="G48" s="13">
        <v>8.5</v>
      </c>
      <c r="H48" s="13">
        <v>3.5</v>
      </c>
      <c r="I48" s="13">
        <v>6</v>
      </c>
      <c r="J48" s="13">
        <v>1</v>
      </c>
      <c r="K48" s="13">
        <v>0.5</v>
      </c>
      <c r="L48" s="13">
        <v>2</v>
      </c>
      <c r="M48" s="13">
        <v>0</v>
      </c>
      <c r="N48">
        <v>69.5</v>
      </c>
      <c r="P48" s="13" t="s">
        <v>10</v>
      </c>
      <c r="Q48" s="15">
        <f>F48/$N$51</f>
        <v>0.53038674033149169</v>
      </c>
      <c r="R48" s="15">
        <f t="shared" ref="R48:Y50" si="37">G48/$N$51</f>
        <v>9.3922651933701654E-2</v>
      </c>
      <c r="S48" s="15">
        <f t="shared" si="37"/>
        <v>3.8674033149171269E-2</v>
      </c>
      <c r="T48" s="15">
        <f t="shared" si="37"/>
        <v>6.6298342541436461E-2</v>
      </c>
      <c r="U48" s="15">
        <f t="shared" si="37"/>
        <v>1.1049723756906077E-2</v>
      </c>
      <c r="V48" s="15">
        <f t="shared" si="37"/>
        <v>5.5248618784530384E-3</v>
      </c>
      <c r="W48" s="15">
        <f t="shared" si="37"/>
        <v>2.2099447513812154E-2</v>
      </c>
      <c r="X48" s="15">
        <f t="shared" si="37"/>
        <v>0</v>
      </c>
      <c r="Y48" s="15">
        <f>N48/$N$51</f>
        <v>0.76795580110497241</v>
      </c>
      <c r="AG48" s="32" t="s">
        <v>405</v>
      </c>
      <c r="AH48" t="s">
        <v>286</v>
      </c>
      <c r="AI48" s="16">
        <f>Q39</f>
        <v>5.8823529411764705E-2</v>
      </c>
      <c r="AO48">
        <f>SUM(AO33:AO47)</f>
        <v>0.97165991902834026</v>
      </c>
      <c r="AV48" s="20" t="s">
        <v>408</v>
      </c>
      <c r="AW48" s="20"/>
      <c r="AX48" s="20"/>
      <c r="AY48" s="20"/>
      <c r="AZ48" s="20"/>
      <c r="BA48" s="20"/>
      <c r="BB48" s="20"/>
      <c r="BC48" s="20"/>
      <c r="BD48" s="20"/>
      <c r="BE48" s="20">
        <v>1</v>
      </c>
      <c r="BF48" s="20"/>
      <c r="BG48" s="20"/>
      <c r="BH48" s="20"/>
      <c r="BI48" s="20"/>
      <c r="BJ48" s="20"/>
      <c r="BK48" s="20"/>
      <c r="BL48" s="20"/>
      <c r="BM48">
        <f t="shared" si="23"/>
        <v>1</v>
      </c>
      <c r="BO48" s="32" t="s">
        <v>285</v>
      </c>
      <c r="BP48" t="s">
        <v>296</v>
      </c>
      <c r="BW48" t="s">
        <v>418</v>
      </c>
      <c r="BX48" t="s">
        <v>283</v>
      </c>
      <c r="BY48" s="44"/>
    </row>
    <row r="49" spans="4:77" ht="15.95">
      <c r="E49" s="13" t="s">
        <v>11</v>
      </c>
      <c r="F49" s="13">
        <v>6.5</v>
      </c>
      <c r="G49" s="13">
        <v>1.5</v>
      </c>
      <c r="H49" s="13">
        <v>0</v>
      </c>
      <c r="I49" s="13">
        <v>0</v>
      </c>
      <c r="J49" s="13">
        <v>3.5</v>
      </c>
      <c r="K49" s="13">
        <v>1</v>
      </c>
      <c r="L49" s="13">
        <v>0</v>
      </c>
      <c r="M49" s="13">
        <v>0</v>
      </c>
      <c r="N49">
        <v>12.5</v>
      </c>
      <c r="P49" s="13" t="s">
        <v>11</v>
      </c>
      <c r="Q49" s="15">
        <f t="shared" ref="Q49:Q50" si="38">F49/$N$51</f>
        <v>7.18232044198895E-2</v>
      </c>
      <c r="R49" s="15">
        <f t="shared" si="37"/>
        <v>1.6574585635359115E-2</v>
      </c>
      <c r="S49" s="15">
        <f t="shared" si="37"/>
        <v>0</v>
      </c>
      <c r="T49" s="15">
        <f t="shared" si="37"/>
        <v>0</v>
      </c>
      <c r="U49" s="15">
        <f t="shared" si="37"/>
        <v>3.8674033149171269E-2</v>
      </c>
      <c r="V49" s="15">
        <f t="shared" si="37"/>
        <v>1.1049723756906077E-2</v>
      </c>
      <c r="W49" s="15">
        <f t="shared" si="37"/>
        <v>0</v>
      </c>
      <c r="X49" s="15">
        <f t="shared" si="37"/>
        <v>0</v>
      </c>
      <c r="Y49" s="15">
        <f t="shared" si="37"/>
        <v>0.13812154696132597</v>
      </c>
      <c r="AG49" s="32" t="s">
        <v>439</v>
      </c>
      <c r="AH49" t="s">
        <v>286</v>
      </c>
      <c r="AI49">
        <f>Q38/2</f>
        <v>0.31066176470588236</v>
      </c>
      <c r="AW49">
        <f>SUM(AW28:AW48)</f>
        <v>30</v>
      </c>
      <c r="AX49">
        <f t="shared" ref="AX49:BL49" si="39">SUM(AX28:AX48)</f>
        <v>14</v>
      </c>
      <c r="AY49">
        <f t="shared" si="39"/>
        <v>11</v>
      </c>
      <c r="AZ49">
        <f t="shared" si="39"/>
        <v>11</v>
      </c>
      <c r="BA49">
        <f t="shared" si="39"/>
        <v>9</v>
      </c>
      <c r="BB49">
        <f t="shared" si="39"/>
        <v>15</v>
      </c>
      <c r="BC49">
        <f t="shared" si="39"/>
        <v>1</v>
      </c>
      <c r="BD49">
        <f t="shared" si="39"/>
        <v>7</v>
      </c>
      <c r="BE49">
        <f t="shared" si="39"/>
        <v>10</v>
      </c>
      <c r="BF49">
        <f t="shared" si="39"/>
        <v>12</v>
      </c>
      <c r="BG49">
        <f t="shared" si="39"/>
        <v>4</v>
      </c>
      <c r="BH49">
        <f t="shared" si="39"/>
        <v>2</v>
      </c>
      <c r="BI49">
        <f t="shared" si="39"/>
        <v>4</v>
      </c>
      <c r="BJ49">
        <f t="shared" si="39"/>
        <v>1</v>
      </c>
      <c r="BK49">
        <f t="shared" si="39"/>
        <v>3</v>
      </c>
      <c r="BL49">
        <f t="shared" si="39"/>
        <v>2</v>
      </c>
      <c r="BM49">
        <f t="shared" si="23"/>
        <v>136</v>
      </c>
      <c r="BN49">
        <f>BM28/BM49</f>
        <v>0.53676470588235292</v>
      </c>
      <c r="BO49" s="32"/>
      <c r="BS49" s="2">
        <v>4</v>
      </c>
      <c r="BW49" t="s">
        <v>418</v>
      </c>
      <c r="BX49" t="s">
        <v>286</v>
      </c>
      <c r="BY49" s="44"/>
    </row>
    <row r="50" spans="4:77" ht="15.95">
      <c r="E50" t="s">
        <v>12</v>
      </c>
      <c r="F50" s="18">
        <v>3</v>
      </c>
      <c r="G50" s="13">
        <v>0</v>
      </c>
      <c r="H50" s="13">
        <v>0</v>
      </c>
      <c r="I50" s="13">
        <v>0</v>
      </c>
      <c r="J50" s="13">
        <v>5.5</v>
      </c>
      <c r="K50" s="13">
        <v>0</v>
      </c>
      <c r="L50" s="13">
        <v>0</v>
      </c>
      <c r="M50" s="13">
        <v>0</v>
      </c>
      <c r="N50">
        <v>8.5</v>
      </c>
      <c r="P50" t="s">
        <v>12</v>
      </c>
      <c r="Q50" s="15">
        <f t="shared" si="38"/>
        <v>3.3149171270718231E-2</v>
      </c>
      <c r="R50" s="15">
        <f t="shared" si="37"/>
        <v>0</v>
      </c>
      <c r="S50" s="15">
        <f t="shared" si="37"/>
        <v>0</v>
      </c>
      <c r="T50" s="15">
        <f t="shared" si="37"/>
        <v>0</v>
      </c>
      <c r="U50" s="15">
        <f t="shared" si="37"/>
        <v>6.0773480662983423E-2</v>
      </c>
      <c r="V50" s="15">
        <f t="shared" si="37"/>
        <v>0</v>
      </c>
      <c r="W50" s="15">
        <f t="shared" si="37"/>
        <v>0</v>
      </c>
      <c r="X50" s="15">
        <f t="shared" si="37"/>
        <v>0</v>
      </c>
      <c r="Y50" s="15">
        <f t="shared" si="37"/>
        <v>9.3922651933701654E-2</v>
      </c>
      <c r="AG50" s="32" t="s">
        <v>439</v>
      </c>
      <c r="AH50" t="s">
        <v>286</v>
      </c>
      <c r="AI50">
        <f>Q38/2</f>
        <v>0.31066176470588236</v>
      </c>
      <c r="AU50" s="2" t="s">
        <v>471</v>
      </c>
      <c r="AV50" s="2"/>
      <c r="BN50">
        <f>BM36/BM49</f>
        <v>8.0882352941176475E-2</v>
      </c>
      <c r="BO50" s="45">
        <v>7</v>
      </c>
      <c r="BS50" s="32" t="s">
        <v>449</v>
      </c>
      <c r="BT50" t="s">
        <v>286</v>
      </c>
      <c r="BW50" t="s">
        <v>418</v>
      </c>
      <c r="BX50" t="s">
        <v>417</v>
      </c>
      <c r="BY50" s="44"/>
    </row>
    <row r="51" spans="4:77">
      <c r="N51">
        <v>90.5</v>
      </c>
      <c r="Y51" s="16">
        <f t="shared" ref="Y51" si="40">SUM(Y48,Y49,Y50)</f>
        <v>1</v>
      </c>
      <c r="AI51" s="16">
        <f>SUM(AI33:AI50)</f>
        <v>0.97426470588235292</v>
      </c>
      <c r="AV51" s="19" t="s">
        <v>297</v>
      </c>
      <c r="AW51" s="20" t="s">
        <v>344</v>
      </c>
      <c r="AX51" s="20" t="s">
        <v>313</v>
      </c>
      <c r="AY51" s="20" t="s">
        <v>421</v>
      </c>
      <c r="AZ51" s="20" t="s">
        <v>375</v>
      </c>
      <c r="BA51" s="20" t="s">
        <v>422</v>
      </c>
      <c r="BB51" s="20" t="s">
        <v>323</v>
      </c>
      <c r="BC51" s="20" t="s">
        <v>423</v>
      </c>
      <c r="BD51" s="20" t="s">
        <v>351</v>
      </c>
      <c r="BE51" s="20" t="s">
        <v>424</v>
      </c>
      <c r="BF51" s="20" t="s">
        <v>425</v>
      </c>
      <c r="BG51" s="20" t="s">
        <v>377</v>
      </c>
      <c r="BH51" s="20" t="s">
        <v>426</v>
      </c>
      <c r="BI51" s="20" t="s">
        <v>427</v>
      </c>
      <c r="BJ51" s="20" t="s">
        <v>333</v>
      </c>
      <c r="BK51" s="20" t="s">
        <v>428</v>
      </c>
      <c r="BL51" s="20" t="s">
        <v>429</v>
      </c>
      <c r="BO51" s="32" t="s">
        <v>442</v>
      </c>
      <c r="BP51" t="s">
        <v>286</v>
      </c>
      <c r="BS51" s="32" t="s">
        <v>326</v>
      </c>
      <c r="BT51" t="s">
        <v>293</v>
      </c>
      <c r="BY51" s="44"/>
    </row>
    <row r="52" spans="4:77" ht="15.95">
      <c r="D52" t="s">
        <v>26</v>
      </c>
      <c r="E52" s="13" t="s">
        <v>104</v>
      </c>
      <c r="F52" t="s">
        <v>25</v>
      </c>
      <c r="G52" s="13" t="s">
        <v>14</v>
      </c>
      <c r="H52" t="s">
        <v>4</v>
      </c>
      <c r="I52" s="13" t="s">
        <v>5</v>
      </c>
      <c r="J52" s="13" t="s">
        <v>6</v>
      </c>
      <c r="K52" s="13" t="s">
        <v>7</v>
      </c>
      <c r="L52" s="13" t="s">
        <v>8</v>
      </c>
      <c r="M52" t="s">
        <v>9</v>
      </c>
      <c r="O52" t="s">
        <v>341</v>
      </c>
      <c r="P52" s="13" t="s">
        <v>104</v>
      </c>
      <c r="Q52" t="s">
        <v>25</v>
      </c>
      <c r="R52" s="13" t="s">
        <v>14</v>
      </c>
      <c r="S52" t="s">
        <v>4</v>
      </c>
      <c r="T52" s="13" t="s">
        <v>5</v>
      </c>
      <c r="U52" s="13" t="s">
        <v>6</v>
      </c>
      <c r="V52" s="13" t="s">
        <v>7</v>
      </c>
      <c r="W52" s="13" t="s">
        <v>8</v>
      </c>
      <c r="X52" t="s">
        <v>9</v>
      </c>
      <c r="AA52">
        <v>15</v>
      </c>
      <c r="AB52" t="s">
        <v>304</v>
      </c>
      <c r="AG52">
        <v>16</v>
      </c>
      <c r="AH52" t="s">
        <v>305</v>
      </c>
      <c r="AM52" s="32">
        <v>6</v>
      </c>
      <c r="AN52" t="s">
        <v>472</v>
      </c>
      <c r="AV52" s="20" t="s">
        <v>286</v>
      </c>
      <c r="AW52" s="39">
        <f>(AW28/AW$49)*100</f>
        <v>43.333333333333336</v>
      </c>
      <c r="AX52" s="39">
        <f t="shared" ref="AX52:BL52" si="41">(AX28/AX$49)*100</f>
        <v>35.714285714285715</v>
      </c>
      <c r="AY52" s="39">
        <f t="shared" si="41"/>
        <v>63.636363636363633</v>
      </c>
      <c r="AZ52" s="39">
        <f t="shared" si="41"/>
        <v>63.636363636363633</v>
      </c>
      <c r="BA52" s="39">
        <f t="shared" si="41"/>
        <v>77.777777777777786</v>
      </c>
      <c r="BB52" s="39">
        <f t="shared" si="41"/>
        <v>80</v>
      </c>
      <c r="BC52" s="39">
        <f t="shared" si="41"/>
        <v>100</v>
      </c>
      <c r="BD52" s="39">
        <f t="shared" si="41"/>
        <v>42.857142857142854</v>
      </c>
      <c r="BE52" s="39">
        <f t="shared" si="41"/>
        <v>40</v>
      </c>
      <c r="BF52" s="39">
        <f t="shared" si="41"/>
        <v>50</v>
      </c>
      <c r="BG52" s="40">
        <f t="shared" si="41"/>
        <v>0</v>
      </c>
      <c r="BH52" s="39">
        <f t="shared" si="41"/>
        <v>100</v>
      </c>
      <c r="BI52" s="40">
        <f t="shared" si="41"/>
        <v>25</v>
      </c>
      <c r="BJ52" s="39">
        <f t="shared" si="41"/>
        <v>100</v>
      </c>
      <c r="BK52" s="39">
        <f t="shared" si="41"/>
        <v>66.666666666666657</v>
      </c>
      <c r="BL52" s="39">
        <f t="shared" si="41"/>
        <v>100</v>
      </c>
      <c r="BO52" s="32" t="s">
        <v>410</v>
      </c>
      <c r="BP52" t="s">
        <v>286</v>
      </c>
      <c r="BS52" s="32" t="s">
        <v>449</v>
      </c>
      <c r="BT52" t="s">
        <v>473</v>
      </c>
      <c r="BY52" s="44"/>
    </row>
    <row r="53" spans="4:77" ht="15.95">
      <c r="E53" s="13" t="s">
        <v>10</v>
      </c>
      <c r="F53" s="13">
        <v>51</v>
      </c>
      <c r="G53" s="13">
        <v>5</v>
      </c>
      <c r="H53" s="13">
        <v>1.5</v>
      </c>
      <c r="I53" s="13">
        <v>3.5</v>
      </c>
      <c r="J53" s="13">
        <v>0</v>
      </c>
      <c r="K53" s="13">
        <v>0</v>
      </c>
      <c r="L53" s="13">
        <v>2.5</v>
      </c>
      <c r="M53" s="18">
        <v>1</v>
      </c>
      <c r="N53">
        <v>64.5</v>
      </c>
      <c r="P53" s="13" t="s">
        <v>10</v>
      </c>
      <c r="Q53" s="15">
        <f>F53/$N$56</f>
        <v>0.55737704918032782</v>
      </c>
      <c r="R53" s="15">
        <f t="shared" ref="R53:Y55" si="42">G53/$N$56</f>
        <v>5.4644808743169397E-2</v>
      </c>
      <c r="S53" s="15">
        <f t="shared" si="42"/>
        <v>1.6393442622950821E-2</v>
      </c>
      <c r="T53" s="15">
        <f t="shared" si="42"/>
        <v>3.825136612021858E-2</v>
      </c>
      <c r="U53" s="15">
        <f t="shared" si="42"/>
        <v>0</v>
      </c>
      <c r="V53" s="15">
        <f t="shared" si="42"/>
        <v>0</v>
      </c>
      <c r="W53" s="15">
        <f t="shared" si="42"/>
        <v>2.7322404371584699E-2</v>
      </c>
      <c r="X53" s="15">
        <f t="shared" si="42"/>
        <v>1.092896174863388E-2</v>
      </c>
      <c r="Y53" s="15">
        <f>N53/$N$56</f>
        <v>0.70491803278688525</v>
      </c>
      <c r="AA53" t="s">
        <v>439</v>
      </c>
      <c r="AB53" t="s">
        <v>286</v>
      </c>
      <c r="AC53">
        <f>Q48/3</f>
        <v>0.17679558011049723</v>
      </c>
      <c r="AD53" t="s">
        <v>286</v>
      </c>
      <c r="AE53" s="16">
        <f>AC53+AC55+AC57+AC59+AC60+AC63</f>
        <v>0.50828729281767948</v>
      </c>
      <c r="AF53">
        <f>AE53*$N$51</f>
        <v>45.999999999999993</v>
      </c>
      <c r="AG53" t="s">
        <v>474</v>
      </c>
      <c r="AH53" t="s">
        <v>320</v>
      </c>
      <c r="AI53">
        <f>T53/2</f>
        <v>1.912568306010929E-2</v>
      </c>
      <c r="AJ53" t="s">
        <v>286</v>
      </c>
      <c r="AK53" s="16">
        <f>AI54+AI57+AI59+AI61+AI66</f>
        <v>0.30874316939890706</v>
      </c>
      <c r="AL53">
        <f>AK53*$N$56</f>
        <v>28.249999999999996</v>
      </c>
      <c r="AM53" s="32" t="s">
        <v>325</v>
      </c>
      <c r="AN53" t="s">
        <v>286</v>
      </c>
      <c r="AO53" s="16">
        <f>Q59</f>
        <v>3.1746031746031744E-2</v>
      </c>
      <c r="AP53" t="s">
        <v>286</v>
      </c>
      <c r="AQ53" s="16">
        <f>AO53</f>
        <v>3.1746031746031744E-2</v>
      </c>
      <c r="AR53">
        <f>$N$61*AQ53</f>
        <v>1</v>
      </c>
      <c r="AV53" s="20" t="s">
        <v>296</v>
      </c>
      <c r="AW53" s="40">
        <f t="shared" ref="AW53:BL53" si="43">(AW29/AW$49)*100</f>
        <v>10</v>
      </c>
      <c r="AX53" s="40">
        <f t="shared" si="43"/>
        <v>7.1428571428571423</v>
      </c>
      <c r="AY53" s="40">
        <f t="shared" si="43"/>
        <v>0</v>
      </c>
      <c r="AZ53" s="40">
        <f t="shared" si="43"/>
        <v>9.0909090909090917</v>
      </c>
      <c r="BA53" s="40">
        <f t="shared" si="43"/>
        <v>0</v>
      </c>
      <c r="BB53" s="40">
        <f t="shared" si="43"/>
        <v>0</v>
      </c>
      <c r="BC53" s="40">
        <f t="shared" si="43"/>
        <v>0</v>
      </c>
      <c r="BD53" s="40">
        <f t="shared" si="43"/>
        <v>0</v>
      </c>
      <c r="BE53" s="40">
        <f t="shared" si="43"/>
        <v>10</v>
      </c>
      <c r="BF53" s="40">
        <f t="shared" si="43"/>
        <v>0</v>
      </c>
      <c r="BG53" s="40">
        <f t="shared" si="43"/>
        <v>0</v>
      </c>
      <c r="BH53" s="40">
        <f t="shared" si="43"/>
        <v>0</v>
      </c>
      <c r="BI53" s="40">
        <f t="shared" si="43"/>
        <v>0</v>
      </c>
      <c r="BJ53" s="40">
        <f t="shared" si="43"/>
        <v>0</v>
      </c>
      <c r="BK53" s="40">
        <f t="shared" si="43"/>
        <v>0</v>
      </c>
      <c r="BL53" s="40">
        <f t="shared" si="43"/>
        <v>0</v>
      </c>
      <c r="BO53" s="32" t="s">
        <v>410</v>
      </c>
      <c r="BP53" t="s">
        <v>283</v>
      </c>
      <c r="BS53" s="32" t="s">
        <v>475</v>
      </c>
      <c r="BT53" t="s">
        <v>476</v>
      </c>
      <c r="BY53" s="44"/>
    </row>
    <row r="54" spans="4:77" ht="15.95">
      <c r="E54" s="13" t="s">
        <v>11</v>
      </c>
      <c r="F54" s="13">
        <v>13</v>
      </c>
      <c r="G54" s="13">
        <v>2</v>
      </c>
      <c r="H54" s="18">
        <v>0.5</v>
      </c>
      <c r="I54" s="13">
        <v>0</v>
      </c>
      <c r="J54" s="13">
        <v>2.5</v>
      </c>
      <c r="K54" s="13">
        <v>0</v>
      </c>
      <c r="L54" s="13">
        <v>0</v>
      </c>
      <c r="M54" s="13">
        <v>0</v>
      </c>
      <c r="N54">
        <v>18</v>
      </c>
      <c r="P54" s="13" t="s">
        <v>11</v>
      </c>
      <c r="Q54" s="15">
        <f t="shared" ref="Q54:Q55" si="44">F54/$N$56</f>
        <v>0.14207650273224043</v>
      </c>
      <c r="R54" s="15">
        <f t="shared" si="42"/>
        <v>2.185792349726776E-2</v>
      </c>
      <c r="S54" s="15">
        <f t="shared" si="42"/>
        <v>5.4644808743169399E-3</v>
      </c>
      <c r="T54" s="15">
        <f t="shared" si="42"/>
        <v>0</v>
      </c>
      <c r="U54" s="15">
        <f t="shared" si="42"/>
        <v>2.7322404371584699E-2</v>
      </c>
      <c r="V54" s="15">
        <f t="shared" si="42"/>
        <v>0</v>
      </c>
      <c r="W54" s="15">
        <f t="shared" si="42"/>
        <v>0</v>
      </c>
      <c r="X54" s="15">
        <f t="shared" si="42"/>
        <v>0</v>
      </c>
      <c r="Y54" s="15">
        <f t="shared" si="42"/>
        <v>0.19672131147540983</v>
      </c>
      <c r="AA54" t="s">
        <v>439</v>
      </c>
      <c r="AB54" t="s">
        <v>364</v>
      </c>
      <c r="AC54">
        <f>Q48/3</f>
        <v>0.17679558011049723</v>
      </c>
      <c r="AD54" t="s">
        <v>296</v>
      </c>
      <c r="AE54" s="16">
        <f>AC56</f>
        <v>7.18232044198895E-2</v>
      </c>
      <c r="AF54">
        <f t="shared" ref="AF54:AF58" si="45">AE54*$N$51</f>
        <v>6.5</v>
      </c>
      <c r="AG54" t="s">
        <v>349</v>
      </c>
      <c r="AH54" t="s">
        <v>286</v>
      </c>
      <c r="AI54">
        <f>T53/2</f>
        <v>1.912568306010929E-2</v>
      </c>
      <c r="AJ54" t="s">
        <v>477</v>
      </c>
      <c r="AK54">
        <f>AI53</f>
        <v>1.912568306010929E-2</v>
      </c>
      <c r="AL54">
        <f t="shared" ref="AL54:AL61" si="46">AK54*$N$56</f>
        <v>1.75</v>
      </c>
      <c r="AM54" s="32" t="s">
        <v>311</v>
      </c>
      <c r="AN54" t="s">
        <v>312</v>
      </c>
      <c r="AO54">
        <f>Q58/2</f>
        <v>0.23809523809523808</v>
      </c>
      <c r="AP54" t="s">
        <v>312</v>
      </c>
      <c r="AQ54" s="16">
        <f>AO54+AO58</f>
        <v>0.30158730158730157</v>
      </c>
      <c r="AR54">
        <f>$N$61*AQ54</f>
        <v>9.5</v>
      </c>
      <c r="AV54" s="20" t="s">
        <v>338</v>
      </c>
      <c r="AW54" s="40">
        <f t="shared" ref="AW54:BL54" si="47">(AW30/AW$49)*100</f>
        <v>0</v>
      </c>
      <c r="AX54" s="40">
        <f t="shared" si="47"/>
        <v>7.1428571428571423</v>
      </c>
      <c r="AY54" s="40">
        <f t="shared" si="47"/>
        <v>0</v>
      </c>
      <c r="AZ54" s="40">
        <f t="shared" si="47"/>
        <v>0</v>
      </c>
      <c r="BA54" s="40">
        <f t="shared" si="47"/>
        <v>0</v>
      </c>
      <c r="BB54" s="40">
        <f t="shared" si="47"/>
        <v>0</v>
      </c>
      <c r="BC54" s="40">
        <f t="shared" si="47"/>
        <v>0</v>
      </c>
      <c r="BD54" s="40">
        <f t="shared" si="47"/>
        <v>0</v>
      </c>
      <c r="BE54" s="40">
        <f t="shared" si="47"/>
        <v>0</v>
      </c>
      <c r="BF54" s="40">
        <f t="shared" si="47"/>
        <v>8.3333333333333321</v>
      </c>
      <c r="BG54" s="40">
        <f t="shared" si="47"/>
        <v>0</v>
      </c>
      <c r="BH54" s="40">
        <f t="shared" si="47"/>
        <v>0</v>
      </c>
      <c r="BI54" s="40">
        <f t="shared" si="47"/>
        <v>0</v>
      </c>
      <c r="BJ54" s="40">
        <f t="shared" si="47"/>
        <v>0</v>
      </c>
      <c r="BK54" s="40">
        <f t="shared" si="47"/>
        <v>33.333333333333329</v>
      </c>
      <c r="BL54" s="40">
        <f t="shared" si="47"/>
        <v>0</v>
      </c>
      <c r="BO54" s="32" t="s">
        <v>348</v>
      </c>
      <c r="BP54" t="s">
        <v>286</v>
      </c>
      <c r="BS54" s="2">
        <v>1</v>
      </c>
      <c r="BY54" s="44"/>
    </row>
    <row r="55" spans="4:77" ht="15.95">
      <c r="E55" t="s">
        <v>12</v>
      </c>
      <c r="F55" s="13">
        <v>5.5</v>
      </c>
      <c r="G55" s="13">
        <v>0</v>
      </c>
      <c r="H55" s="13">
        <v>0</v>
      </c>
      <c r="I55" s="13">
        <v>0</v>
      </c>
      <c r="J55" s="13">
        <v>3.5</v>
      </c>
      <c r="K55" s="13">
        <v>0</v>
      </c>
      <c r="L55" s="13">
        <v>0</v>
      </c>
      <c r="M55" s="13">
        <v>0</v>
      </c>
      <c r="N55">
        <v>9</v>
      </c>
      <c r="P55" t="s">
        <v>12</v>
      </c>
      <c r="Q55" s="15">
        <f t="shared" si="44"/>
        <v>6.0109289617486336E-2</v>
      </c>
      <c r="R55" s="15">
        <f t="shared" si="42"/>
        <v>0</v>
      </c>
      <c r="S55" s="15">
        <f t="shared" si="42"/>
        <v>0</v>
      </c>
      <c r="T55" s="15">
        <f t="shared" si="42"/>
        <v>0</v>
      </c>
      <c r="U55" s="15">
        <f t="shared" si="42"/>
        <v>3.825136612021858E-2</v>
      </c>
      <c r="V55" s="15">
        <f t="shared" si="42"/>
        <v>0</v>
      </c>
      <c r="W55" s="15">
        <f t="shared" si="42"/>
        <v>0</v>
      </c>
      <c r="X55" s="15">
        <f t="shared" si="42"/>
        <v>0</v>
      </c>
      <c r="Y55" s="15">
        <f t="shared" si="42"/>
        <v>9.8360655737704916E-2</v>
      </c>
      <c r="AA55" t="s">
        <v>439</v>
      </c>
      <c r="AB55" t="s">
        <v>286</v>
      </c>
      <c r="AC55">
        <f>Q48/3</f>
        <v>0.17679558011049723</v>
      </c>
      <c r="AD55" t="s">
        <v>293</v>
      </c>
      <c r="AE55" s="16">
        <f>AC62</f>
        <v>3.8674033149171269E-2</v>
      </c>
      <c r="AF55">
        <f t="shared" si="45"/>
        <v>3.5</v>
      </c>
      <c r="AG55" t="s">
        <v>431</v>
      </c>
      <c r="AH55" t="s">
        <v>398</v>
      </c>
      <c r="AI55" s="16">
        <f>W53</f>
        <v>2.7322404371584699E-2</v>
      </c>
      <c r="AJ55" t="s">
        <v>343</v>
      </c>
      <c r="AK55">
        <f>AI63+AI65</f>
        <v>0.25683060109289613</v>
      </c>
      <c r="AL55">
        <f t="shared" si="46"/>
        <v>23.499999999999996</v>
      </c>
      <c r="AM55" s="32" t="s">
        <v>375</v>
      </c>
      <c r="AN55" t="s">
        <v>413</v>
      </c>
      <c r="AO55" s="16">
        <f>R58</f>
        <v>4.7619047619047616E-2</v>
      </c>
      <c r="AP55" t="s">
        <v>413</v>
      </c>
      <c r="AQ55" s="16">
        <f>AO55</f>
        <v>4.7619047619047616E-2</v>
      </c>
      <c r="AR55">
        <f>$N$61*AQ55</f>
        <v>1.5</v>
      </c>
      <c r="AV55" s="20" t="s">
        <v>343</v>
      </c>
      <c r="AW55" s="40">
        <f t="shared" ref="AW55:BL55" si="48">(AW31/AW$49)*100</f>
        <v>6.666666666666667</v>
      </c>
      <c r="AX55" s="40">
        <f t="shared" si="48"/>
        <v>14.285714285714285</v>
      </c>
      <c r="AY55" s="40">
        <f t="shared" si="48"/>
        <v>9.0909090909090917</v>
      </c>
      <c r="AZ55" s="40">
        <f t="shared" si="48"/>
        <v>0</v>
      </c>
      <c r="BA55" s="40">
        <f t="shared" si="48"/>
        <v>0</v>
      </c>
      <c r="BB55" s="40">
        <f t="shared" si="48"/>
        <v>0</v>
      </c>
      <c r="BC55" s="40">
        <f t="shared" si="48"/>
        <v>0</v>
      </c>
      <c r="BD55" s="40">
        <f t="shared" si="48"/>
        <v>0</v>
      </c>
      <c r="BE55" s="40">
        <f t="shared" si="48"/>
        <v>0</v>
      </c>
      <c r="BF55" s="40">
        <f t="shared" si="48"/>
        <v>0</v>
      </c>
      <c r="BG55" s="40">
        <f t="shared" si="48"/>
        <v>0</v>
      </c>
      <c r="BH55" s="40">
        <f t="shared" si="48"/>
        <v>0</v>
      </c>
      <c r="BI55" s="40">
        <f t="shared" si="48"/>
        <v>0</v>
      </c>
      <c r="BJ55" s="40">
        <f t="shared" si="48"/>
        <v>0</v>
      </c>
      <c r="BK55" s="40">
        <f t="shared" si="48"/>
        <v>0</v>
      </c>
      <c r="BL55" s="40">
        <f t="shared" si="48"/>
        <v>0</v>
      </c>
      <c r="BO55" s="32" t="s">
        <v>348</v>
      </c>
      <c r="BP55" t="s">
        <v>320</v>
      </c>
      <c r="BS55" s="32" t="s">
        <v>478</v>
      </c>
      <c r="BT55" t="s">
        <v>286</v>
      </c>
      <c r="BY55" s="44"/>
    </row>
    <row r="56" spans="4:77">
      <c r="N56">
        <v>91.5</v>
      </c>
      <c r="Y56" s="16">
        <f t="shared" ref="Y56" si="49">SUM(Y53,Y54,Y55)</f>
        <v>1</v>
      </c>
      <c r="AA56" t="s">
        <v>405</v>
      </c>
      <c r="AB56" t="s">
        <v>296</v>
      </c>
      <c r="AC56" s="16">
        <f>Q49</f>
        <v>7.18232044198895E-2</v>
      </c>
      <c r="AD56" t="s">
        <v>284</v>
      </c>
      <c r="AE56" s="16">
        <f>AC64+AC65+AC66</f>
        <v>0.11049723756906077</v>
      </c>
      <c r="AF56">
        <f t="shared" si="45"/>
        <v>10</v>
      </c>
      <c r="AG56" t="s">
        <v>416</v>
      </c>
      <c r="AH56" t="s">
        <v>404</v>
      </c>
      <c r="AI56" s="16">
        <f>U54</f>
        <v>2.7322404371584699E-2</v>
      </c>
      <c r="AJ56" t="s">
        <v>318</v>
      </c>
      <c r="AK56">
        <f>AI67</f>
        <v>3.0054644808743168E-2</v>
      </c>
      <c r="AL56">
        <f t="shared" si="46"/>
        <v>2.75</v>
      </c>
      <c r="AM56" s="32" t="s">
        <v>422</v>
      </c>
      <c r="AN56" t="s">
        <v>324</v>
      </c>
      <c r="AO56" s="16">
        <f>R59</f>
        <v>0</v>
      </c>
      <c r="AP56" t="s">
        <v>324</v>
      </c>
      <c r="AQ56" s="16">
        <f>AO56+AO57</f>
        <v>0.23809523809523808</v>
      </c>
      <c r="AR56">
        <f>$N$61*AQ56</f>
        <v>7.5</v>
      </c>
      <c r="AV56" s="20" t="s">
        <v>295</v>
      </c>
      <c r="AW56" s="40">
        <f t="shared" ref="AW56:BL56" si="50">(AW32/AW$49)*100</f>
        <v>3.3333333333333335</v>
      </c>
      <c r="AX56" s="40">
        <f t="shared" si="50"/>
        <v>0</v>
      </c>
      <c r="AY56" s="40">
        <f t="shared" si="50"/>
        <v>0</v>
      </c>
      <c r="AZ56" s="40">
        <f t="shared" si="50"/>
        <v>0</v>
      </c>
      <c r="BA56" s="40">
        <f t="shared" si="50"/>
        <v>0</v>
      </c>
      <c r="BB56" s="40">
        <f t="shared" si="50"/>
        <v>0</v>
      </c>
      <c r="BC56" s="40">
        <f t="shared" si="50"/>
        <v>0</v>
      </c>
      <c r="BD56" s="40">
        <f t="shared" si="50"/>
        <v>0</v>
      </c>
      <c r="BE56" s="40">
        <f t="shared" si="50"/>
        <v>0</v>
      </c>
      <c r="BF56" s="40">
        <f t="shared" si="50"/>
        <v>0</v>
      </c>
      <c r="BG56" s="40">
        <f t="shared" si="50"/>
        <v>0</v>
      </c>
      <c r="BH56" s="40">
        <f t="shared" si="50"/>
        <v>0</v>
      </c>
      <c r="BI56" s="40">
        <f t="shared" si="50"/>
        <v>0</v>
      </c>
      <c r="BJ56" s="40">
        <f t="shared" si="50"/>
        <v>0</v>
      </c>
      <c r="BK56" s="40">
        <f t="shared" si="50"/>
        <v>0</v>
      </c>
      <c r="BL56" s="40">
        <f t="shared" si="50"/>
        <v>0</v>
      </c>
      <c r="BO56" s="32" t="s">
        <v>410</v>
      </c>
      <c r="BP56" t="s">
        <v>398</v>
      </c>
      <c r="BY56" s="44"/>
    </row>
    <row r="57" spans="4:77" ht="15.95">
      <c r="D57" t="s">
        <v>26</v>
      </c>
      <c r="E57" s="5" t="s">
        <v>24</v>
      </c>
      <c r="F57" t="s">
        <v>25</v>
      </c>
      <c r="G57" t="s">
        <v>3</v>
      </c>
      <c r="H57" t="s">
        <v>4</v>
      </c>
      <c r="I57" t="s">
        <v>5</v>
      </c>
      <c r="J57" t="s">
        <v>6</v>
      </c>
      <c r="K57" t="s">
        <v>7</v>
      </c>
      <c r="L57" t="s">
        <v>8</v>
      </c>
      <c r="M57" t="s">
        <v>9</v>
      </c>
      <c r="O57" t="s">
        <v>341</v>
      </c>
      <c r="P57" s="5" t="s">
        <v>24</v>
      </c>
      <c r="Q57" t="s">
        <v>25</v>
      </c>
      <c r="R57" s="13" t="s">
        <v>14</v>
      </c>
      <c r="S57" t="s">
        <v>4</v>
      </c>
      <c r="T57" s="13" t="s">
        <v>5</v>
      </c>
      <c r="U57" s="13" t="s">
        <v>6</v>
      </c>
      <c r="V57" s="13" t="s">
        <v>7</v>
      </c>
      <c r="W57" s="13" t="s">
        <v>8</v>
      </c>
      <c r="X57" t="s">
        <v>9</v>
      </c>
      <c r="AA57" t="s">
        <v>336</v>
      </c>
      <c r="AB57" t="s">
        <v>286</v>
      </c>
      <c r="AC57" s="16">
        <f>R48</f>
        <v>9.3922651933701654E-2</v>
      </c>
      <c r="AD57" t="s">
        <v>327</v>
      </c>
      <c r="AE57">
        <f>AC54</f>
        <v>0.17679558011049723</v>
      </c>
      <c r="AF57">
        <f t="shared" si="45"/>
        <v>16</v>
      </c>
      <c r="AG57" t="s">
        <v>418</v>
      </c>
      <c r="AH57" t="s">
        <v>286</v>
      </c>
      <c r="AI57" s="16">
        <f>U55/2</f>
        <v>1.912568306010929E-2</v>
      </c>
      <c r="AJ57" t="s">
        <v>381</v>
      </c>
      <c r="AK57">
        <f>AI64</f>
        <v>7.1038251366120214E-2</v>
      </c>
      <c r="AL57">
        <f t="shared" si="46"/>
        <v>6.5</v>
      </c>
      <c r="AM57" s="32" t="s">
        <v>311</v>
      </c>
      <c r="AN57" t="s">
        <v>324</v>
      </c>
      <c r="AO57">
        <f>AO54</f>
        <v>0.23809523809523808</v>
      </c>
      <c r="AR57">
        <f>$N$61</f>
        <v>31.5</v>
      </c>
      <c r="AV57" s="21" t="s">
        <v>317</v>
      </c>
      <c r="AW57" s="40">
        <f t="shared" ref="AW57:BL57" si="51">(AW33/AW$49)*100</f>
        <v>6.666666666666667</v>
      </c>
      <c r="AX57" s="40">
        <f t="shared" si="51"/>
        <v>0</v>
      </c>
      <c r="AY57" s="40">
        <f t="shared" si="51"/>
        <v>0</v>
      </c>
      <c r="AZ57" s="40">
        <f t="shared" si="51"/>
        <v>0</v>
      </c>
      <c r="BA57" s="40">
        <f t="shared" si="51"/>
        <v>0</v>
      </c>
      <c r="BB57" s="40">
        <f t="shared" si="51"/>
        <v>0</v>
      </c>
      <c r="BC57" s="40">
        <f t="shared" si="51"/>
        <v>0</v>
      </c>
      <c r="BD57" s="40">
        <f t="shared" si="51"/>
        <v>0</v>
      </c>
      <c r="BE57" s="40">
        <f t="shared" si="51"/>
        <v>0</v>
      </c>
      <c r="BF57" s="40">
        <f t="shared" si="51"/>
        <v>0</v>
      </c>
      <c r="BG57" s="40">
        <f t="shared" si="51"/>
        <v>0</v>
      </c>
      <c r="BH57" s="40">
        <f t="shared" si="51"/>
        <v>0</v>
      </c>
      <c r="BI57" s="40">
        <f t="shared" si="51"/>
        <v>25</v>
      </c>
      <c r="BJ57" s="40">
        <f t="shared" si="51"/>
        <v>0</v>
      </c>
      <c r="BK57" s="40">
        <f t="shared" si="51"/>
        <v>0</v>
      </c>
      <c r="BL57" s="40">
        <f t="shared" si="51"/>
        <v>0</v>
      </c>
      <c r="BO57" s="32" t="s">
        <v>410</v>
      </c>
      <c r="BP57" t="s">
        <v>283</v>
      </c>
      <c r="BS57" s="2">
        <v>5</v>
      </c>
      <c r="BY57" s="44"/>
    </row>
    <row r="58" spans="4:77" ht="15.95">
      <c r="E58" s="5" t="s">
        <v>10</v>
      </c>
      <c r="F58">
        <v>15</v>
      </c>
      <c r="G58">
        <v>1.5</v>
      </c>
      <c r="H58">
        <v>2</v>
      </c>
      <c r="I58" s="2">
        <v>1.5</v>
      </c>
      <c r="J58" s="2">
        <v>3.5</v>
      </c>
      <c r="K58" s="2">
        <v>0</v>
      </c>
      <c r="L58" s="2">
        <v>1</v>
      </c>
      <c r="M58" s="2">
        <v>0</v>
      </c>
      <c r="N58">
        <v>24.5</v>
      </c>
      <c r="P58" s="5" t="s">
        <v>10</v>
      </c>
      <c r="Q58" s="15">
        <f t="shared" ref="Q58:Y59" si="52">F58/$N$61</f>
        <v>0.47619047619047616</v>
      </c>
      <c r="R58" s="15">
        <f t="shared" si="52"/>
        <v>4.7619047619047616E-2</v>
      </c>
      <c r="S58" s="15">
        <f t="shared" si="52"/>
        <v>6.3492063492063489E-2</v>
      </c>
      <c r="T58" s="15">
        <f t="shared" si="52"/>
        <v>4.7619047619047616E-2</v>
      </c>
      <c r="U58" s="15">
        <f t="shared" si="52"/>
        <v>0.1111111111111111</v>
      </c>
      <c r="V58" s="15">
        <f t="shared" si="52"/>
        <v>0</v>
      </c>
      <c r="W58" s="15">
        <f t="shared" si="52"/>
        <v>3.1746031746031744E-2</v>
      </c>
      <c r="X58" s="15">
        <f t="shared" si="52"/>
        <v>0</v>
      </c>
      <c r="Y58" s="15">
        <f t="shared" si="52"/>
        <v>0.77777777777777779</v>
      </c>
      <c r="Z58" s="16">
        <f>SUM(Q58:X58)</f>
        <v>0.77777777777777779</v>
      </c>
      <c r="AA58" t="s">
        <v>475</v>
      </c>
      <c r="AB58" t="s">
        <v>476</v>
      </c>
      <c r="AC58" s="16">
        <f>V48</f>
        <v>5.5248618784530384E-3</v>
      </c>
      <c r="AD58" t="s">
        <v>330</v>
      </c>
      <c r="AE58" s="16">
        <f>AC58+AC61+AC67</f>
        <v>6.0773480662983423E-2</v>
      </c>
      <c r="AF58">
        <f t="shared" si="45"/>
        <v>5.5</v>
      </c>
      <c r="AG58" t="s">
        <v>449</v>
      </c>
      <c r="AH58" t="s">
        <v>473</v>
      </c>
      <c r="AI58" s="16">
        <f>S53</f>
        <v>1.6393442622950821E-2</v>
      </c>
      <c r="AJ58" t="s">
        <v>327</v>
      </c>
      <c r="AK58" s="16">
        <f>AI68+AI60</f>
        <v>4.0983606557377053E-2</v>
      </c>
      <c r="AL58">
        <f t="shared" si="46"/>
        <v>3.7500000000000004</v>
      </c>
      <c r="AM58" s="32" t="s">
        <v>326</v>
      </c>
      <c r="AN58" t="s">
        <v>312</v>
      </c>
      <c r="AO58" s="16">
        <f>S58</f>
        <v>6.3492063492063489E-2</v>
      </c>
      <c r="AV58" s="20" t="s">
        <v>320</v>
      </c>
      <c r="AW58" s="40">
        <f t="shared" ref="AW58:BL58" si="53">(AW34/AW$49)*100</f>
        <v>0</v>
      </c>
      <c r="AX58" s="40">
        <f t="shared" si="53"/>
        <v>0</v>
      </c>
      <c r="AY58" s="40">
        <f t="shared" si="53"/>
        <v>0</v>
      </c>
      <c r="AZ58" s="40">
        <f t="shared" si="53"/>
        <v>0</v>
      </c>
      <c r="BA58" s="40">
        <f t="shared" si="53"/>
        <v>0</v>
      </c>
      <c r="BB58" s="40">
        <f t="shared" si="53"/>
        <v>6.666666666666667</v>
      </c>
      <c r="BC58" s="40">
        <f t="shared" si="53"/>
        <v>0</v>
      </c>
      <c r="BD58" s="40">
        <f t="shared" si="53"/>
        <v>14.285714285714285</v>
      </c>
      <c r="BE58" s="40">
        <f t="shared" si="53"/>
        <v>0</v>
      </c>
      <c r="BF58" s="40">
        <f t="shared" si="53"/>
        <v>0</v>
      </c>
      <c r="BG58" s="40">
        <f t="shared" si="53"/>
        <v>0</v>
      </c>
      <c r="BH58" s="40">
        <f t="shared" si="53"/>
        <v>0</v>
      </c>
      <c r="BI58" s="40">
        <f t="shared" si="53"/>
        <v>0</v>
      </c>
      <c r="BJ58" s="40">
        <f t="shared" si="53"/>
        <v>0</v>
      </c>
      <c r="BK58" s="40">
        <f t="shared" si="53"/>
        <v>0</v>
      </c>
      <c r="BL58" s="40">
        <f t="shared" si="53"/>
        <v>0</v>
      </c>
      <c r="BO58" s="32"/>
      <c r="BS58" s="32" t="s">
        <v>431</v>
      </c>
      <c r="BT58" t="s">
        <v>329</v>
      </c>
      <c r="BY58" s="44"/>
    </row>
    <row r="59" spans="4:77" ht="15.95">
      <c r="E59" s="5" t="s">
        <v>11</v>
      </c>
      <c r="F59">
        <v>1</v>
      </c>
      <c r="G59">
        <v>0</v>
      </c>
      <c r="H59" s="2">
        <v>2.5</v>
      </c>
      <c r="I59" s="2">
        <v>0</v>
      </c>
      <c r="J59" s="2">
        <v>0</v>
      </c>
      <c r="K59" s="2">
        <v>1</v>
      </c>
      <c r="L59" s="2">
        <v>2.5</v>
      </c>
      <c r="M59" s="2">
        <v>0</v>
      </c>
      <c r="N59">
        <v>7</v>
      </c>
      <c r="P59" s="5" t="s">
        <v>11</v>
      </c>
      <c r="Q59" s="15">
        <f t="shared" si="52"/>
        <v>3.1746031746031744E-2</v>
      </c>
      <c r="R59" s="15">
        <f t="shared" si="52"/>
        <v>0</v>
      </c>
      <c r="S59" s="15">
        <f t="shared" si="52"/>
        <v>7.9365079365079361E-2</v>
      </c>
      <c r="T59" s="15">
        <f t="shared" si="52"/>
        <v>0</v>
      </c>
      <c r="U59" s="15">
        <f t="shared" si="52"/>
        <v>0</v>
      </c>
      <c r="V59" s="15">
        <f t="shared" si="52"/>
        <v>3.1746031746031744E-2</v>
      </c>
      <c r="W59" s="15">
        <f t="shared" si="52"/>
        <v>7.9365079365079361E-2</v>
      </c>
      <c r="X59" s="15">
        <f t="shared" si="52"/>
        <v>0</v>
      </c>
      <c r="Y59" s="15">
        <f t="shared" si="52"/>
        <v>0.22222222222222221</v>
      </c>
      <c r="Z59" s="16">
        <f>SUM(Q59:X59)</f>
        <v>0.22222222222222221</v>
      </c>
      <c r="AA59" t="s">
        <v>322</v>
      </c>
      <c r="AB59" t="s">
        <v>286</v>
      </c>
      <c r="AC59" s="16">
        <f>R49</f>
        <v>1.6574585635359115E-2</v>
      </c>
      <c r="AE59" s="16">
        <f>SUM(AE53:AE58)</f>
        <v>0.96685082872928163</v>
      </c>
      <c r="AF59" s="16">
        <f>SUM(AF53:AF58)</f>
        <v>87.5</v>
      </c>
      <c r="AG59" t="s">
        <v>292</v>
      </c>
      <c r="AH59" t="s">
        <v>286</v>
      </c>
      <c r="AI59" s="16">
        <f>R53</f>
        <v>5.4644808743169397E-2</v>
      </c>
      <c r="AJ59" t="s">
        <v>398</v>
      </c>
      <c r="AK59" s="16">
        <f>AI55</f>
        <v>2.7322404371584699E-2</v>
      </c>
      <c r="AL59">
        <f t="shared" si="46"/>
        <v>2.5</v>
      </c>
      <c r="AO59" s="16">
        <f>SUM(AO53:AO58)</f>
        <v>0.61904761904761907</v>
      </c>
      <c r="AV59" s="20" t="s">
        <v>314</v>
      </c>
      <c r="AW59" s="40">
        <f t="shared" ref="AW59:BL59" si="54">(AW35/AW$49)*100</f>
        <v>0</v>
      </c>
      <c r="AX59" s="40">
        <f t="shared" si="54"/>
        <v>0</v>
      </c>
      <c r="AY59" s="40">
        <f t="shared" si="54"/>
        <v>0</v>
      </c>
      <c r="AZ59" s="40">
        <f t="shared" si="54"/>
        <v>9.0909090909090917</v>
      </c>
      <c r="BA59" s="40">
        <f t="shared" si="54"/>
        <v>0</v>
      </c>
      <c r="BB59" s="40">
        <f t="shared" si="54"/>
        <v>0</v>
      </c>
      <c r="BC59" s="40">
        <f t="shared" si="54"/>
        <v>0</v>
      </c>
      <c r="BD59" s="40">
        <f t="shared" si="54"/>
        <v>0</v>
      </c>
      <c r="BE59" s="40">
        <f t="shared" si="54"/>
        <v>10</v>
      </c>
      <c r="BF59" s="40">
        <f t="shared" si="54"/>
        <v>0</v>
      </c>
      <c r="BG59" s="40">
        <f t="shared" si="54"/>
        <v>0</v>
      </c>
      <c r="BH59" s="40">
        <f t="shared" si="54"/>
        <v>0</v>
      </c>
      <c r="BI59" s="40">
        <f t="shared" si="54"/>
        <v>0</v>
      </c>
      <c r="BJ59" s="40">
        <f t="shared" si="54"/>
        <v>0</v>
      </c>
      <c r="BK59" s="40">
        <f t="shared" si="54"/>
        <v>0</v>
      </c>
      <c r="BL59" s="40">
        <f t="shared" si="54"/>
        <v>0</v>
      </c>
      <c r="BO59" s="45">
        <v>3</v>
      </c>
      <c r="BS59" s="32" t="s">
        <v>468</v>
      </c>
      <c r="BT59" s="17" t="s">
        <v>469</v>
      </c>
      <c r="BY59" s="44"/>
    </row>
    <row r="60" spans="4:77" ht="15.95">
      <c r="E60" t="s">
        <v>12</v>
      </c>
      <c r="P60" t="s">
        <v>12</v>
      </c>
      <c r="Q60" s="15"/>
      <c r="R60" s="15">
        <f t="shared" ref="R60" si="55">G60/$N$56</f>
        <v>0</v>
      </c>
      <c r="S60" s="15">
        <f t="shared" ref="S60" si="56">H60/$N$56</f>
        <v>0</v>
      </c>
      <c r="T60" s="15">
        <f t="shared" ref="T60" si="57">I60/$N$56</f>
        <v>0</v>
      </c>
      <c r="U60" s="15">
        <f t="shared" ref="U60" si="58">J60/$N$56</f>
        <v>0</v>
      </c>
      <c r="V60" s="15">
        <f t="shared" ref="V60" si="59">K60/$N$56</f>
        <v>0</v>
      </c>
      <c r="W60" s="15">
        <f t="shared" ref="W60" si="60">L60/$N$56</f>
        <v>0</v>
      </c>
      <c r="X60" s="15">
        <f t="shared" ref="X60" si="61">M60/$N$56</f>
        <v>0</v>
      </c>
      <c r="Y60" s="15"/>
      <c r="Z60" s="16">
        <f>SUM(Z58:Z59)</f>
        <v>1</v>
      </c>
      <c r="AA60" t="s">
        <v>349</v>
      </c>
      <c r="AB60" t="s">
        <v>286</v>
      </c>
      <c r="AC60">
        <f>T48/2</f>
        <v>3.3149171270718231E-2</v>
      </c>
      <c r="AG60" t="s">
        <v>308</v>
      </c>
      <c r="AH60" t="s">
        <v>364</v>
      </c>
      <c r="AI60" s="16">
        <f>R54</f>
        <v>2.185792349726776E-2</v>
      </c>
      <c r="AJ60" t="s">
        <v>404</v>
      </c>
      <c r="AK60" s="16">
        <f>AI56+AI62</f>
        <v>0.21311475409836064</v>
      </c>
      <c r="AL60">
        <f>AK60*$N$56</f>
        <v>19.5</v>
      </c>
      <c r="AV60" s="20" t="s">
        <v>283</v>
      </c>
      <c r="AW60" s="40">
        <f t="shared" ref="AW60:BL60" si="62">(AW36/AW$49)*100</f>
        <v>6.666666666666667</v>
      </c>
      <c r="AX60" s="40">
        <f t="shared" si="62"/>
        <v>7.1428571428571423</v>
      </c>
      <c r="AY60" s="40">
        <f t="shared" si="62"/>
        <v>9.0909090909090917</v>
      </c>
      <c r="AZ60" s="40">
        <f t="shared" si="62"/>
        <v>0</v>
      </c>
      <c r="BA60" s="40">
        <f t="shared" si="62"/>
        <v>11.111111111111111</v>
      </c>
      <c r="BB60" s="40">
        <f t="shared" si="62"/>
        <v>6.666666666666667</v>
      </c>
      <c r="BC60" s="40">
        <f t="shared" si="62"/>
        <v>0</v>
      </c>
      <c r="BD60" s="40">
        <f t="shared" si="62"/>
        <v>28.571428571428569</v>
      </c>
      <c r="BE60" s="40">
        <f t="shared" si="62"/>
        <v>10</v>
      </c>
      <c r="BF60" s="40">
        <f t="shared" si="62"/>
        <v>8.3333333333333321</v>
      </c>
      <c r="BG60" s="40">
        <f t="shared" si="62"/>
        <v>25</v>
      </c>
      <c r="BH60" s="40">
        <f t="shared" si="62"/>
        <v>0</v>
      </c>
      <c r="BI60" s="40">
        <f t="shared" si="62"/>
        <v>0</v>
      </c>
      <c r="BJ60" s="40">
        <f t="shared" si="62"/>
        <v>0</v>
      </c>
      <c r="BK60" s="40">
        <f t="shared" si="62"/>
        <v>0</v>
      </c>
      <c r="BL60" s="40">
        <f t="shared" si="62"/>
        <v>0</v>
      </c>
      <c r="BO60" s="32" t="s">
        <v>459</v>
      </c>
      <c r="BP60" t="s">
        <v>286</v>
      </c>
      <c r="BS60" s="32" t="s">
        <v>468</v>
      </c>
      <c r="BT60" t="s">
        <v>283</v>
      </c>
      <c r="BY60" s="44"/>
    </row>
    <row r="61" spans="4:77">
      <c r="N61">
        <f>SUM(N58:N59)</f>
        <v>31.5</v>
      </c>
      <c r="Y61" s="16">
        <f>SUM(Y58,Y59,Y60)</f>
        <v>1</v>
      </c>
      <c r="AA61" t="s">
        <v>349</v>
      </c>
      <c r="AB61" t="s">
        <v>367</v>
      </c>
      <c r="AC61">
        <f>T48/2</f>
        <v>3.3149171270718231E-2</v>
      </c>
      <c r="AG61" t="s">
        <v>316</v>
      </c>
      <c r="AH61" t="s">
        <v>286</v>
      </c>
      <c r="AI61">
        <f>Q53/3</f>
        <v>0.18579234972677594</v>
      </c>
      <c r="AJ61" t="s">
        <v>330</v>
      </c>
      <c r="AK61" s="16">
        <f>AI58</f>
        <v>1.6393442622950821E-2</v>
      </c>
      <c r="AL61">
        <f t="shared" si="46"/>
        <v>1.5</v>
      </c>
      <c r="AV61" s="20" t="s">
        <v>328</v>
      </c>
      <c r="AW61" s="40">
        <f t="shared" ref="AW61:BL61" si="63">(AW37/AW$49)*100</f>
        <v>0</v>
      </c>
      <c r="AX61" s="40">
        <f t="shared" si="63"/>
        <v>7.1428571428571423</v>
      </c>
      <c r="AY61" s="40">
        <f t="shared" si="63"/>
        <v>9.0909090909090917</v>
      </c>
      <c r="AZ61" s="40">
        <f t="shared" si="63"/>
        <v>0</v>
      </c>
      <c r="BA61" s="40">
        <f t="shared" si="63"/>
        <v>0</v>
      </c>
      <c r="BB61" s="40">
        <f t="shared" si="63"/>
        <v>0</v>
      </c>
      <c r="BC61" s="40">
        <f t="shared" si="63"/>
        <v>0</v>
      </c>
      <c r="BD61" s="40">
        <f t="shared" si="63"/>
        <v>0</v>
      </c>
      <c r="BE61" s="40">
        <f t="shared" si="63"/>
        <v>0</v>
      </c>
      <c r="BF61" s="40">
        <f t="shared" si="63"/>
        <v>0</v>
      </c>
      <c r="BG61" s="40">
        <f t="shared" si="63"/>
        <v>0</v>
      </c>
      <c r="BH61" s="40">
        <f t="shared" si="63"/>
        <v>0</v>
      </c>
      <c r="BI61" s="40">
        <f t="shared" si="63"/>
        <v>0</v>
      </c>
      <c r="BJ61" s="40">
        <f t="shared" si="63"/>
        <v>0</v>
      </c>
      <c r="BK61" s="40">
        <f t="shared" si="63"/>
        <v>0</v>
      </c>
      <c r="BL61" s="40">
        <f t="shared" si="63"/>
        <v>0</v>
      </c>
      <c r="BO61" s="32" t="s">
        <v>462</v>
      </c>
      <c r="BP61" t="s">
        <v>321</v>
      </c>
      <c r="BS61" s="32" t="s">
        <v>431</v>
      </c>
      <c r="BT61" t="s">
        <v>307</v>
      </c>
      <c r="BY61" s="44"/>
    </row>
    <row r="62" spans="4:77" ht="15.95">
      <c r="D62" t="s">
        <v>26</v>
      </c>
      <c r="E62" s="5" t="s">
        <v>27</v>
      </c>
      <c r="F62" t="s">
        <v>25</v>
      </c>
      <c r="G62" t="s">
        <v>3</v>
      </c>
      <c r="H62" t="s">
        <v>4</v>
      </c>
      <c r="I62" t="s">
        <v>5</v>
      </c>
      <c r="J62" t="s">
        <v>6</v>
      </c>
      <c r="K62" t="s">
        <v>7</v>
      </c>
      <c r="L62" t="s">
        <v>8</v>
      </c>
      <c r="M62" t="s">
        <v>9</v>
      </c>
      <c r="O62" t="s">
        <v>341</v>
      </c>
      <c r="P62" s="5" t="s">
        <v>27</v>
      </c>
      <c r="Q62" t="s">
        <v>25</v>
      </c>
      <c r="R62" s="13" t="s">
        <v>14</v>
      </c>
      <c r="S62" t="s">
        <v>4</v>
      </c>
      <c r="T62" s="13" t="s">
        <v>5</v>
      </c>
      <c r="U62" s="13" t="s">
        <v>6</v>
      </c>
      <c r="V62" s="13" t="s">
        <v>7</v>
      </c>
      <c r="W62" s="13" t="s">
        <v>8</v>
      </c>
      <c r="X62" t="s">
        <v>9</v>
      </c>
      <c r="AA62" t="s">
        <v>326</v>
      </c>
      <c r="AB62" t="s">
        <v>293</v>
      </c>
      <c r="AC62" s="16">
        <f>S48</f>
        <v>3.8674033149171269E-2</v>
      </c>
      <c r="AG62" t="s">
        <v>316</v>
      </c>
      <c r="AH62" t="s">
        <v>463</v>
      </c>
      <c r="AI62">
        <f>Q53/3</f>
        <v>0.18579234972677594</v>
      </c>
      <c r="AK62" s="16">
        <f>SUM(AK53:AK61)</f>
        <v>0.98360655737704927</v>
      </c>
      <c r="AL62" s="16">
        <f>SUM(AL53:AL61)</f>
        <v>90</v>
      </c>
      <c r="AV62" s="20" t="s">
        <v>371</v>
      </c>
      <c r="AW62" s="40">
        <f t="shared" ref="AW62:BL62" si="64">(AW38/AW$49)*100</f>
        <v>0</v>
      </c>
      <c r="AX62" s="40">
        <f t="shared" si="64"/>
        <v>0</v>
      </c>
      <c r="AY62" s="40">
        <f t="shared" si="64"/>
        <v>0</v>
      </c>
      <c r="AZ62" s="40">
        <f t="shared" si="64"/>
        <v>0</v>
      </c>
      <c r="BA62" s="40">
        <f t="shared" si="64"/>
        <v>0</v>
      </c>
      <c r="BB62" s="40">
        <f t="shared" si="64"/>
        <v>0</v>
      </c>
      <c r="BC62" s="40">
        <f t="shared" si="64"/>
        <v>0</v>
      </c>
      <c r="BD62" s="40">
        <f t="shared" si="64"/>
        <v>0</v>
      </c>
      <c r="BE62" s="40">
        <f t="shared" si="64"/>
        <v>0</v>
      </c>
      <c r="BF62" s="40">
        <f t="shared" si="64"/>
        <v>0</v>
      </c>
      <c r="BG62" s="40">
        <f t="shared" si="64"/>
        <v>0</v>
      </c>
      <c r="BH62" s="40">
        <f t="shared" si="64"/>
        <v>0</v>
      </c>
      <c r="BI62" s="40">
        <f t="shared" si="64"/>
        <v>0</v>
      </c>
      <c r="BJ62" s="40">
        <f t="shared" si="64"/>
        <v>0</v>
      </c>
      <c r="BK62" s="40">
        <f t="shared" si="64"/>
        <v>0</v>
      </c>
      <c r="BL62" s="40">
        <f t="shared" si="64"/>
        <v>0</v>
      </c>
      <c r="BO62" s="32" t="s">
        <v>459</v>
      </c>
      <c r="BP62" t="s">
        <v>286</v>
      </c>
      <c r="BS62" s="32" t="s">
        <v>431</v>
      </c>
      <c r="BT62" t="s">
        <v>398</v>
      </c>
      <c r="BY62" s="44"/>
    </row>
    <row r="63" spans="4:77" ht="15.95">
      <c r="E63" s="5" t="s">
        <v>10</v>
      </c>
      <c r="F63">
        <v>25</v>
      </c>
      <c r="G63">
        <v>1</v>
      </c>
      <c r="H63">
        <v>3</v>
      </c>
      <c r="I63">
        <v>1</v>
      </c>
      <c r="J63">
        <v>2</v>
      </c>
      <c r="K63">
        <v>0.5</v>
      </c>
      <c r="L63">
        <v>0</v>
      </c>
      <c r="M63">
        <v>0</v>
      </c>
      <c r="N63">
        <v>32.5</v>
      </c>
      <c r="P63" s="5" t="s">
        <v>10</v>
      </c>
      <c r="Q63" s="15">
        <f t="shared" ref="Q63:X64" si="65">F63/$N$66</f>
        <v>0.66666666666666663</v>
      </c>
      <c r="R63" s="15">
        <f t="shared" si="65"/>
        <v>2.6666666666666668E-2</v>
      </c>
      <c r="S63" s="15">
        <f t="shared" si="65"/>
        <v>0.08</v>
      </c>
      <c r="T63" s="15">
        <f t="shared" si="65"/>
        <v>2.6666666666666668E-2</v>
      </c>
      <c r="U63" s="15">
        <f t="shared" si="65"/>
        <v>5.3333333333333337E-2</v>
      </c>
      <c r="V63" s="15">
        <f t="shared" si="65"/>
        <v>1.3333333333333334E-2</v>
      </c>
      <c r="W63" s="15">
        <f t="shared" si="65"/>
        <v>0</v>
      </c>
      <c r="X63" s="15">
        <f t="shared" si="65"/>
        <v>0</v>
      </c>
      <c r="Y63" s="15">
        <f>N63/N66</f>
        <v>0.8666666666666667</v>
      </c>
      <c r="Z63" s="16">
        <f>SUM(Q63:X63)</f>
        <v>0.86666666666666647</v>
      </c>
      <c r="AA63" t="s">
        <v>429</v>
      </c>
      <c r="AB63" t="s">
        <v>286</v>
      </c>
      <c r="AC63" s="16">
        <f>V49</f>
        <v>1.1049723756906077E-2</v>
      </c>
      <c r="AG63" t="s">
        <v>316</v>
      </c>
      <c r="AH63" t="s">
        <v>343</v>
      </c>
      <c r="AI63">
        <f>Q53/3</f>
        <v>0.18579234972677594</v>
      </c>
      <c r="AV63" s="20" t="s">
        <v>372</v>
      </c>
      <c r="AW63" s="40">
        <f t="shared" ref="AW63:BL63" si="66">(AW39/AW$49)*100</f>
        <v>0</v>
      </c>
      <c r="AX63" s="40">
        <f t="shared" si="66"/>
        <v>0</v>
      </c>
      <c r="AY63" s="40">
        <f t="shared" si="66"/>
        <v>0</v>
      </c>
      <c r="AZ63" s="40">
        <f t="shared" si="66"/>
        <v>0</v>
      </c>
      <c r="BA63" s="40">
        <f t="shared" si="66"/>
        <v>0</v>
      </c>
      <c r="BB63" s="40">
        <f t="shared" si="66"/>
        <v>0</v>
      </c>
      <c r="BC63" s="40">
        <f t="shared" si="66"/>
        <v>0</v>
      </c>
      <c r="BD63" s="40">
        <f t="shared" si="66"/>
        <v>0</v>
      </c>
      <c r="BE63" s="40">
        <f t="shared" si="66"/>
        <v>0</v>
      </c>
      <c r="BF63" s="40">
        <f t="shared" si="66"/>
        <v>0</v>
      </c>
      <c r="BG63" s="40">
        <f t="shared" si="66"/>
        <v>0</v>
      </c>
      <c r="BH63" s="40">
        <f t="shared" si="66"/>
        <v>0</v>
      </c>
      <c r="BI63" s="40">
        <f t="shared" si="66"/>
        <v>0</v>
      </c>
      <c r="BJ63" s="40">
        <f t="shared" si="66"/>
        <v>0</v>
      </c>
      <c r="BK63" s="40">
        <f t="shared" si="66"/>
        <v>0</v>
      </c>
      <c r="BL63" s="40">
        <f t="shared" si="66"/>
        <v>0</v>
      </c>
      <c r="BO63" s="45">
        <v>2</v>
      </c>
      <c r="BS63" s="2">
        <v>2</v>
      </c>
      <c r="BY63" s="44"/>
    </row>
    <row r="64" spans="4:77" ht="15.95">
      <c r="E64" s="5" t="s">
        <v>11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5</v>
      </c>
      <c r="P64" s="5" t="s">
        <v>11</v>
      </c>
      <c r="Q64" s="15">
        <f t="shared" si="65"/>
        <v>0.10666666666666667</v>
      </c>
      <c r="R64" s="15">
        <f t="shared" si="65"/>
        <v>0</v>
      </c>
      <c r="S64" s="15">
        <f t="shared" si="65"/>
        <v>0</v>
      </c>
      <c r="T64" s="15">
        <f t="shared" si="65"/>
        <v>0</v>
      </c>
      <c r="U64" s="15">
        <f t="shared" si="65"/>
        <v>0</v>
      </c>
      <c r="V64" s="15">
        <f t="shared" si="65"/>
        <v>0</v>
      </c>
      <c r="W64" s="15">
        <f t="shared" si="65"/>
        <v>2.6666666666666668E-2</v>
      </c>
      <c r="X64" s="15">
        <f t="shared" si="65"/>
        <v>0</v>
      </c>
      <c r="Y64" s="15">
        <f>N64/N66</f>
        <v>0.13333333333333333</v>
      </c>
      <c r="Z64" s="16">
        <f>SUM(Q64:X64)</f>
        <v>0.13333333333333333</v>
      </c>
      <c r="AA64" t="s">
        <v>410</v>
      </c>
      <c r="AB64" t="s">
        <v>283</v>
      </c>
      <c r="AC64" s="16">
        <f>U48</f>
        <v>1.1049723756906077E-2</v>
      </c>
      <c r="AG64" t="s">
        <v>358</v>
      </c>
      <c r="AH64" t="s">
        <v>433</v>
      </c>
      <c r="AI64">
        <f>Q54/2</f>
        <v>7.1038251366120214E-2</v>
      </c>
      <c r="AV64" s="20" t="s">
        <v>373</v>
      </c>
      <c r="AW64" s="40">
        <f t="shared" ref="AW64:BL64" si="67">(AW40/AW$49)*100</f>
        <v>0</v>
      </c>
      <c r="AX64" s="40">
        <f t="shared" si="67"/>
        <v>0</v>
      </c>
      <c r="AY64" s="40">
        <f t="shared" si="67"/>
        <v>0</v>
      </c>
      <c r="AZ64" s="40">
        <f t="shared" si="67"/>
        <v>0</v>
      </c>
      <c r="BA64" s="40">
        <f t="shared" si="67"/>
        <v>0</v>
      </c>
      <c r="BB64" s="40">
        <f t="shared" si="67"/>
        <v>0</v>
      </c>
      <c r="BC64" s="40">
        <f t="shared" si="67"/>
        <v>0</v>
      </c>
      <c r="BD64" s="40">
        <f t="shared" si="67"/>
        <v>0</v>
      </c>
      <c r="BE64" s="40">
        <f t="shared" si="67"/>
        <v>0</v>
      </c>
      <c r="BF64" s="40">
        <f t="shared" si="67"/>
        <v>8.3333333333333321</v>
      </c>
      <c r="BG64" s="40">
        <f t="shared" si="67"/>
        <v>0</v>
      </c>
      <c r="BH64" s="40">
        <f t="shared" si="67"/>
        <v>0</v>
      </c>
      <c r="BI64" s="40">
        <f t="shared" si="67"/>
        <v>0</v>
      </c>
      <c r="BJ64" s="40">
        <f t="shared" si="67"/>
        <v>0</v>
      </c>
      <c r="BK64" s="40">
        <f t="shared" si="67"/>
        <v>0</v>
      </c>
      <c r="BL64" s="40">
        <f t="shared" si="67"/>
        <v>0</v>
      </c>
      <c r="BO64" s="32" t="s">
        <v>465</v>
      </c>
      <c r="BP64" t="s">
        <v>286</v>
      </c>
      <c r="BS64" s="32" t="s">
        <v>467</v>
      </c>
      <c r="BT64" t="s">
        <v>286</v>
      </c>
      <c r="BY64" s="44"/>
    </row>
    <row r="65" spans="4:77" ht="15.95">
      <c r="E65" t="s">
        <v>12</v>
      </c>
      <c r="P65" t="s">
        <v>12</v>
      </c>
      <c r="Q65" s="15">
        <f t="shared" ref="Q65" si="68">F65/$N$56</f>
        <v>0</v>
      </c>
      <c r="R65" s="15">
        <f t="shared" ref="R65" si="69">G65/$N$56</f>
        <v>0</v>
      </c>
      <c r="S65" s="15">
        <f t="shared" ref="S65" si="70">H65/$N$56</f>
        <v>0</v>
      </c>
      <c r="T65" s="15">
        <f t="shared" ref="T65" si="71">I65/$N$56</f>
        <v>0</v>
      </c>
      <c r="U65" s="15">
        <f t="shared" ref="U65" si="72">J65/$N$56</f>
        <v>0</v>
      </c>
      <c r="V65" s="15">
        <f t="shared" ref="V65" si="73">K65/$N$56</f>
        <v>0</v>
      </c>
      <c r="W65" s="15">
        <f t="shared" ref="W65" si="74">L65/$N$56</f>
        <v>0</v>
      </c>
      <c r="X65" s="15">
        <f t="shared" ref="X65" si="75">M65/$N$56</f>
        <v>0</v>
      </c>
      <c r="Y65" s="15"/>
      <c r="Z65" s="16">
        <f>SUM(Z63:Z64)</f>
        <v>0.99999999999999978</v>
      </c>
      <c r="AA65" t="s">
        <v>416</v>
      </c>
      <c r="AB65" t="s">
        <v>283</v>
      </c>
      <c r="AC65" s="16">
        <f>U49</f>
        <v>3.8674033149171269E-2</v>
      </c>
      <c r="AG65" t="s">
        <v>358</v>
      </c>
      <c r="AH65" t="s">
        <v>343</v>
      </c>
      <c r="AI65">
        <f>Q54/2</f>
        <v>7.1038251366120214E-2</v>
      </c>
      <c r="AV65" s="20" t="s">
        <v>312</v>
      </c>
      <c r="AW65" s="40">
        <f t="shared" ref="AW65:BL65" si="76">(AW41/AW$49)*100</f>
        <v>3.3333333333333335</v>
      </c>
      <c r="AX65" s="40">
        <f t="shared" si="76"/>
        <v>0</v>
      </c>
      <c r="AY65" s="40">
        <f t="shared" si="76"/>
        <v>9.0909090909090917</v>
      </c>
      <c r="AZ65" s="40">
        <f t="shared" si="76"/>
        <v>9.0909090909090917</v>
      </c>
      <c r="BA65" s="40">
        <f t="shared" si="76"/>
        <v>11.111111111111111</v>
      </c>
      <c r="BB65" s="40">
        <f t="shared" si="76"/>
        <v>0</v>
      </c>
      <c r="BC65" s="40">
        <f t="shared" si="76"/>
        <v>0</v>
      </c>
      <c r="BD65" s="40">
        <f t="shared" si="76"/>
        <v>0</v>
      </c>
      <c r="BE65" s="40">
        <f t="shared" si="76"/>
        <v>10</v>
      </c>
      <c r="BF65" s="40">
        <f t="shared" si="76"/>
        <v>25</v>
      </c>
      <c r="BG65" s="40">
        <f t="shared" si="76"/>
        <v>0</v>
      </c>
      <c r="BH65" s="40">
        <f t="shared" si="76"/>
        <v>0</v>
      </c>
      <c r="BI65" s="40">
        <f t="shared" si="76"/>
        <v>0</v>
      </c>
      <c r="BJ65" s="40">
        <f t="shared" si="76"/>
        <v>0</v>
      </c>
      <c r="BK65" s="40">
        <f t="shared" si="76"/>
        <v>0</v>
      </c>
      <c r="BL65" s="40">
        <f t="shared" si="76"/>
        <v>0</v>
      </c>
      <c r="BO65" s="32" t="s">
        <v>429</v>
      </c>
      <c r="BP65" t="s">
        <v>286</v>
      </c>
      <c r="BS65" s="32" t="s">
        <v>470</v>
      </c>
      <c r="BT65" t="s">
        <v>286</v>
      </c>
      <c r="BY65" s="44"/>
    </row>
    <row r="66" spans="4:77">
      <c r="N66">
        <f>SUM(N63:N64)</f>
        <v>37.5</v>
      </c>
      <c r="Y66" s="16">
        <f t="shared" ref="Y66:Y106" si="77">SUM(Y63,Y64,Y65)</f>
        <v>1</v>
      </c>
      <c r="AA66" t="s">
        <v>418</v>
      </c>
      <c r="AB66" t="s">
        <v>283</v>
      </c>
      <c r="AC66" s="16">
        <f>U50</f>
        <v>6.0773480662983423E-2</v>
      </c>
      <c r="AG66" t="s">
        <v>347</v>
      </c>
      <c r="AH66" t="s">
        <v>286</v>
      </c>
      <c r="AI66">
        <f>Q55/2</f>
        <v>3.0054644808743168E-2</v>
      </c>
      <c r="AV66" s="20" t="s">
        <v>382</v>
      </c>
      <c r="AW66" s="40">
        <f t="shared" ref="AW66:BL66" si="78">(AW42/AW$49)*100</f>
        <v>0</v>
      </c>
      <c r="AX66" s="40">
        <f t="shared" si="78"/>
        <v>0</v>
      </c>
      <c r="AY66" s="40">
        <f t="shared" si="78"/>
        <v>0</v>
      </c>
      <c r="AZ66" s="40">
        <f t="shared" si="78"/>
        <v>0</v>
      </c>
      <c r="BA66" s="40">
        <f t="shared" si="78"/>
        <v>0</v>
      </c>
      <c r="BB66" s="40">
        <f t="shared" si="78"/>
        <v>0</v>
      </c>
      <c r="BC66" s="40">
        <f t="shared" si="78"/>
        <v>0</v>
      </c>
      <c r="BD66" s="40">
        <f t="shared" si="78"/>
        <v>0</v>
      </c>
      <c r="BE66" s="40">
        <f t="shared" si="78"/>
        <v>0</v>
      </c>
      <c r="BF66" s="40">
        <f t="shared" si="78"/>
        <v>0</v>
      </c>
      <c r="BG66" s="40">
        <f t="shared" si="78"/>
        <v>0</v>
      </c>
      <c r="BH66" s="40">
        <f t="shared" si="78"/>
        <v>0</v>
      </c>
      <c r="BI66" s="40">
        <f t="shared" si="78"/>
        <v>0</v>
      </c>
      <c r="BJ66" s="40">
        <f t="shared" si="78"/>
        <v>0</v>
      </c>
      <c r="BK66" s="40">
        <f t="shared" si="78"/>
        <v>0</v>
      </c>
      <c r="BL66" s="40">
        <f t="shared" si="78"/>
        <v>0</v>
      </c>
      <c r="BO66" s="32"/>
      <c r="BY66" s="44"/>
    </row>
    <row r="67" spans="4:77" ht="15.95">
      <c r="D67" t="s">
        <v>26</v>
      </c>
      <c r="E67" s="5" t="s">
        <v>28</v>
      </c>
      <c r="F67" t="s">
        <v>25</v>
      </c>
      <c r="G67" t="s">
        <v>3</v>
      </c>
      <c r="H67" t="s">
        <v>4</v>
      </c>
      <c r="I67" t="s">
        <v>5</v>
      </c>
      <c r="J67" t="s">
        <v>6</v>
      </c>
      <c r="K67" t="s">
        <v>7</v>
      </c>
      <c r="L67" t="s">
        <v>8</v>
      </c>
      <c r="M67" t="s">
        <v>9</v>
      </c>
      <c r="O67" t="s">
        <v>341</v>
      </c>
      <c r="P67" s="5" t="s">
        <v>28</v>
      </c>
      <c r="Q67" t="s">
        <v>25</v>
      </c>
      <c r="R67" s="13" t="s">
        <v>14</v>
      </c>
      <c r="S67" t="s">
        <v>4</v>
      </c>
      <c r="T67" s="13" t="s">
        <v>5</v>
      </c>
      <c r="U67" s="13" t="s">
        <v>6</v>
      </c>
      <c r="V67" s="13" t="s">
        <v>7</v>
      </c>
      <c r="W67" s="13" t="s">
        <v>8</v>
      </c>
      <c r="X67" t="s">
        <v>9</v>
      </c>
      <c r="AA67" t="s">
        <v>431</v>
      </c>
      <c r="AB67" t="s">
        <v>307</v>
      </c>
      <c r="AC67" s="16">
        <f>W48</f>
        <v>2.2099447513812154E-2</v>
      </c>
      <c r="AG67" t="s">
        <v>347</v>
      </c>
      <c r="AH67" t="s">
        <v>436</v>
      </c>
      <c r="AI67">
        <f>Q55/2</f>
        <v>3.0054644808743168E-2</v>
      </c>
      <c r="AV67" s="20" t="s">
        <v>381</v>
      </c>
      <c r="AW67" s="40">
        <f t="shared" ref="AW67:BL67" si="79">(AW43/AW$49)*100</f>
        <v>3.3333333333333335</v>
      </c>
      <c r="AX67" s="40">
        <f t="shared" si="79"/>
        <v>7.1428571428571423</v>
      </c>
      <c r="AY67" s="40">
        <f t="shared" si="79"/>
        <v>0</v>
      </c>
      <c r="AZ67" s="40">
        <f t="shared" si="79"/>
        <v>0</v>
      </c>
      <c r="BA67" s="40">
        <f t="shared" si="79"/>
        <v>0</v>
      </c>
      <c r="BB67" s="40">
        <f t="shared" si="79"/>
        <v>0</v>
      </c>
      <c r="BC67" s="40">
        <f t="shared" si="79"/>
        <v>0</v>
      </c>
      <c r="BD67" s="40">
        <f t="shared" si="79"/>
        <v>0</v>
      </c>
      <c r="BE67" s="40">
        <f t="shared" si="79"/>
        <v>0</v>
      </c>
      <c r="BF67" s="40">
        <f t="shared" si="79"/>
        <v>0</v>
      </c>
      <c r="BG67" s="40">
        <f t="shared" si="79"/>
        <v>0</v>
      </c>
      <c r="BH67" s="40">
        <f t="shared" si="79"/>
        <v>0</v>
      </c>
      <c r="BI67" s="40">
        <f t="shared" si="79"/>
        <v>0</v>
      </c>
      <c r="BJ67" s="40">
        <f t="shared" si="79"/>
        <v>0</v>
      </c>
      <c r="BK67" s="40">
        <f t="shared" si="79"/>
        <v>0</v>
      </c>
      <c r="BL67" s="40">
        <f t="shared" si="79"/>
        <v>0</v>
      </c>
      <c r="BO67" s="46"/>
      <c r="BP67" s="47"/>
      <c r="BQ67" s="47"/>
      <c r="BR67" s="47"/>
      <c r="BS67" s="47"/>
      <c r="BT67" s="47"/>
      <c r="BU67" s="47"/>
      <c r="BV67" s="47"/>
      <c r="BW67" s="47"/>
      <c r="BX67" s="47"/>
      <c r="BY67" s="48"/>
    </row>
    <row r="68" spans="4:77" ht="15.95">
      <c r="E68" s="5" t="s">
        <v>10</v>
      </c>
      <c r="F68">
        <v>24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25</v>
      </c>
      <c r="P68" s="5" t="s">
        <v>10</v>
      </c>
      <c r="Q68" s="15">
        <f t="shared" ref="Q68:Y69" si="80">F68/$N$71</f>
        <v>0.75</v>
      </c>
      <c r="R68" s="15">
        <f t="shared" si="80"/>
        <v>0</v>
      </c>
      <c r="S68" s="15">
        <f t="shared" si="80"/>
        <v>0</v>
      </c>
      <c r="T68" s="15">
        <f t="shared" si="80"/>
        <v>3.125E-2</v>
      </c>
      <c r="U68" s="15">
        <f t="shared" si="80"/>
        <v>0</v>
      </c>
      <c r="V68" s="15">
        <f t="shared" si="80"/>
        <v>0</v>
      </c>
      <c r="W68" s="15">
        <f t="shared" si="80"/>
        <v>0</v>
      </c>
      <c r="X68" s="15">
        <f t="shared" si="80"/>
        <v>0</v>
      </c>
      <c r="Y68" s="15">
        <f t="shared" si="80"/>
        <v>0.78125</v>
      </c>
      <c r="Z68" s="16">
        <f>SUM(Q68:X68)</f>
        <v>0.78125</v>
      </c>
      <c r="AC68" s="36">
        <f>SUM(AC53:AC67)</f>
        <v>0.96685082872928163</v>
      </c>
      <c r="AD68" s="16"/>
      <c r="AG68" t="s">
        <v>418</v>
      </c>
      <c r="AH68" t="s">
        <v>417</v>
      </c>
      <c r="AI68" s="16">
        <f>U55/2</f>
        <v>1.912568306010929E-2</v>
      </c>
      <c r="AV68" s="20" t="s">
        <v>389</v>
      </c>
      <c r="AW68" s="40">
        <f t="shared" ref="AW68:BL68" si="81">(AW44/AW$49)*100</f>
        <v>0</v>
      </c>
      <c r="AX68" s="40">
        <f t="shared" si="81"/>
        <v>0</v>
      </c>
      <c r="AY68" s="40">
        <f t="shared" si="81"/>
        <v>0</v>
      </c>
      <c r="AZ68" s="40">
        <f t="shared" si="81"/>
        <v>0</v>
      </c>
      <c r="BA68" s="40">
        <f t="shared" si="81"/>
        <v>0</v>
      </c>
      <c r="BB68" s="40">
        <f t="shared" si="81"/>
        <v>0</v>
      </c>
      <c r="BC68" s="40">
        <f t="shared" si="81"/>
        <v>0</v>
      </c>
      <c r="BD68" s="40">
        <f t="shared" si="81"/>
        <v>0</v>
      </c>
      <c r="BE68" s="40">
        <f t="shared" si="81"/>
        <v>0</v>
      </c>
      <c r="BF68" s="40">
        <f t="shared" si="81"/>
        <v>0</v>
      </c>
      <c r="BG68" s="40">
        <f t="shared" si="81"/>
        <v>0</v>
      </c>
      <c r="BH68" s="40">
        <f t="shared" si="81"/>
        <v>0</v>
      </c>
      <c r="BI68" s="40">
        <f t="shared" si="81"/>
        <v>0</v>
      </c>
      <c r="BJ68" s="40">
        <f t="shared" si="81"/>
        <v>0</v>
      </c>
      <c r="BK68" s="40">
        <f t="shared" si="81"/>
        <v>0</v>
      </c>
      <c r="BL68" s="40">
        <f t="shared" si="81"/>
        <v>0</v>
      </c>
    </row>
    <row r="69" spans="4:77" ht="15.95">
      <c r="E69" s="5" t="s">
        <v>11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7</v>
      </c>
      <c r="P69" s="5" t="s">
        <v>11</v>
      </c>
      <c r="Q69" s="15">
        <f t="shared" si="80"/>
        <v>0.21875</v>
      </c>
      <c r="R69" s="15">
        <f t="shared" si="80"/>
        <v>0</v>
      </c>
      <c r="S69" s="15">
        <f t="shared" si="80"/>
        <v>0</v>
      </c>
      <c r="T69" s="15">
        <f t="shared" si="80"/>
        <v>0</v>
      </c>
      <c r="U69" s="15">
        <f t="shared" si="80"/>
        <v>0</v>
      </c>
      <c r="V69" s="15">
        <f t="shared" si="80"/>
        <v>0</v>
      </c>
      <c r="W69" s="15">
        <f t="shared" si="80"/>
        <v>0</v>
      </c>
      <c r="X69" s="15">
        <f t="shared" si="80"/>
        <v>0</v>
      </c>
      <c r="Y69" s="15">
        <f t="shared" si="80"/>
        <v>0.21875</v>
      </c>
      <c r="Z69" s="16">
        <f>SUM(Q69:X69)</f>
        <v>0.21875</v>
      </c>
      <c r="AI69">
        <f>SUM(AI53:AI68)</f>
        <v>0.98360655737704916</v>
      </c>
      <c r="AV69" s="20" t="s">
        <v>392</v>
      </c>
      <c r="AW69" s="40">
        <f t="shared" ref="AW69:BL69" si="82">(AW45/AW$49)*100</f>
        <v>6.666666666666667</v>
      </c>
      <c r="AX69" s="40">
        <f t="shared" si="82"/>
        <v>7.1428571428571423</v>
      </c>
      <c r="AY69" s="40">
        <f t="shared" si="82"/>
        <v>0</v>
      </c>
      <c r="AZ69" s="40">
        <f t="shared" si="82"/>
        <v>0</v>
      </c>
      <c r="BA69" s="40">
        <f t="shared" si="82"/>
        <v>0</v>
      </c>
      <c r="BB69" s="40">
        <f t="shared" si="82"/>
        <v>6.666666666666667</v>
      </c>
      <c r="BC69" s="40">
        <f t="shared" si="82"/>
        <v>0</v>
      </c>
      <c r="BD69" s="40">
        <f t="shared" si="82"/>
        <v>0</v>
      </c>
      <c r="BE69" s="40">
        <f t="shared" si="82"/>
        <v>0</v>
      </c>
      <c r="BF69" s="40">
        <f t="shared" si="82"/>
        <v>0</v>
      </c>
      <c r="BG69" s="39">
        <f t="shared" si="82"/>
        <v>50</v>
      </c>
      <c r="BH69" s="40">
        <f t="shared" si="82"/>
        <v>0</v>
      </c>
      <c r="BI69" s="39">
        <f t="shared" si="82"/>
        <v>50</v>
      </c>
      <c r="BJ69" s="40">
        <f t="shared" si="82"/>
        <v>0</v>
      </c>
      <c r="BK69" s="40">
        <f t="shared" si="82"/>
        <v>0</v>
      </c>
      <c r="BL69" s="40">
        <f t="shared" si="82"/>
        <v>0</v>
      </c>
    </row>
    <row r="70" spans="4:77" ht="15.95">
      <c r="E70" t="s">
        <v>12</v>
      </c>
      <c r="P70" t="s">
        <v>12</v>
      </c>
      <c r="Q70" s="15">
        <f t="shared" ref="Q70" si="83">F70/$N$56</f>
        <v>0</v>
      </c>
      <c r="R70" s="15">
        <f t="shared" ref="R70" si="84">G70/$N$56</f>
        <v>0</v>
      </c>
      <c r="S70" s="15">
        <f t="shared" ref="S70" si="85">H70/$N$56</f>
        <v>0</v>
      </c>
      <c r="T70" s="15">
        <f t="shared" ref="T70" si="86">I70/$N$56</f>
        <v>0</v>
      </c>
      <c r="U70" s="15">
        <f t="shared" ref="U70" si="87">J70/$N$56</f>
        <v>0</v>
      </c>
      <c r="V70" s="15">
        <f t="shared" ref="V70" si="88">K70/$N$56</f>
        <v>0</v>
      </c>
      <c r="W70" s="15">
        <f t="shared" ref="W70" si="89">L70/$N$56</f>
        <v>0</v>
      </c>
      <c r="X70" s="15">
        <f t="shared" ref="X70" si="90">M70/$N$56</f>
        <v>0</v>
      </c>
      <c r="Y70" s="15"/>
      <c r="Z70" s="16">
        <f>SUM(Z68:Z69)</f>
        <v>1</v>
      </c>
      <c r="AV70" s="20" t="s">
        <v>398</v>
      </c>
      <c r="AW70" s="40">
        <f t="shared" ref="AW70:BL70" si="91">(AW46/AW$49)*100</f>
        <v>6.666666666666667</v>
      </c>
      <c r="AX70" s="40">
        <f t="shared" si="91"/>
        <v>7.1428571428571423</v>
      </c>
      <c r="AY70" s="40">
        <f t="shared" si="91"/>
        <v>0</v>
      </c>
      <c r="AZ70" s="40">
        <f t="shared" si="91"/>
        <v>9.0909090909090917</v>
      </c>
      <c r="BA70" s="40">
        <f t="shared" si="91"/>
        <v>0</v>
      </c>
      <c r="BB70" s="40">
        <f t="shared" si="91"/>
        <v>0</v>
      </c>
      <c r="BC70" s="40">
        <f t="shared" si="91"/>
        <v>0</v>
      </c>
      <c r="BD70" s="40">
        <f t="shared" si="91"/>
        <v>14.285714285714285</v>
      </c>
      <c r="BE70" s="40">
        <f t="shared" si="91"/>
        <v>0</v>
      </c>
      <c r="BF70" s="40">
        <f t="shared" si="91"/>
        <v>0</v>
      </c>
      <c r="BG70" s="40">
        <f t="shared" si="91"/>
        <v>25</v>
      </c>
      <c r="BH70" s="40">
        <f t="shared" si="91"/>
        <v>0</v>
      </c>
      <c r="BI70" s="40">
        <f t="shared" si="91"/>
        <v>0</v>
      </c>
      <c r="BJ70" s="40">
        <f t="shared" si="91"/>
        <v>0</v>
      </c>
      <c r="BK70" s="40">
        <f t="shared" si="91"/>
        <v>0</v>
      </c>
      <c r="BL70" s="40">
        <f t="shared" si="91"/>
        <v>0</v>
      </c>
    </row>
    <row r="71" spans="4:77">
      <c r="N71">
        <f>SUM(N68:N69)</f>
        <v>32</v>
      </c>
      <c r="Y71" s="16">
        <f t="shared" si="77"/>
        <v>1</v>
      </c>
      <c r="AA71">
        <v>4</v>
      </c>
      <c r="AB71" t="s">
        <v>479</v>
      </c>
      <c r="AG71">
        <v>3</v>
      </c>
      <c r="AH71" t="s">
        <v>480</v>
      </c>
      <c r="AM71">
        <v>6</v>
      </c>
      <c r="AN71" t="s">
        <v>481</v>
      </c>
      <c r="AV71" s="20" t="s">
        <v>404</v>
      </c>
      <c r="AW71" s="40">
        <f t="shared" ref="AW71:BL71" si="92">(AW47/AW$49)*100</f>
        <v>3.3333333333333335</v>
      </c>
      <c r="AX71" s="40">
        <f t="shared" si="92"/>
        <v>0</v>
      </c>
      <c r="AY71" s="40">
        <f t="shared" si="92"/>
        <v>0</v>
      </c>
      <c r="AZ71" s="40">
        <f t="shared" si="92"/>
        <v>0</v>
      </c>
      <c r="BA71" s="40">
        <f t="shared" si="92"/>
        <v>0</v>
      </c>
      <c r="BB71" s="40">
        <f t="shared" si="92"/>
        <v>0</v>
      </c>
      <c r="BC71" s="40">
        <f t="shared" si="92"/>
        <v>0</v>
      </c>
      <c r="BD71" s="40">
        <f t="shared" si="92"/>
        <v>0</v>
      </c>
      <c r="BE71" s="40">
        <f t="shared" si="92"/>
        <v>10</v>
      </c>
      <c r="BF71" s="40">
        <f t="shared" si="92"/>
        <v>0</v>
      </c>
      <c r="BG71" s="40">
        <f t="shared" si="92"/>
        <v>0</v>
      </c>
      <c r="BH71" s="40">
        <f t="shared" si="92"/>
        <v>0</v>
      </c>
      <c r="BI71" s="40">
        <f t="shared" si="92"/>
        <v>0</v>
      </c>
      <c r="BJ71" s="40">
        <f t="shared" si="92"/>
        <v>0</v>
      </c>
      <c r="BK71" s="40">
        <f t="shared" si="92"/>
        <v>0</v>
      </c>
      <c r="BL71" s="40">
        <f t="shared" si="92"/>
        <v>0</v>
      </c>
    </row>
    <row r="72" spans="4:77" ht="15.95">
      <c r="D72" t="s">
        <v>26</v>
      </c>
      <c r="E72" s="5" t="s">
        <v>29</v>
      </c>
      <c r="F72" t="s">
        <v>25</v>
      </c>
      <c r="G72" t="s">
        <v>3</v>
      </c>
      <c r="H72" t="s">
        <v>4</v>
      </c>
      <c r="I72" t="s">
        <v>5</v>
      </c>
      <c r="J72" t="s">
        <v>6</v>
      </c>
      <c r="K72" t="s">
        <v>7</v>
      </c>
      <c r="L72" t="s">
        <v>8</v>
      </c>
      <c r="M72" t="s">
        <v>9</v>
      </c>
      <c r="O72" t="s">
        <v>341</v>
      </c>
      <c r="P72" s="5" t="s">
        <v>29</v>
      </c>
      <c r="Q72" t="s">
        <v>25</v>
      </c>
      <c r="R72" s="13" t="s">
        <v>14</v>
      </c>
      <c r="S72" t="s">
        <v>4</v>
      </c>
      <c r="T72" s="13" t="s">
        <v>5</v>
      </c>
      <c r="U72" s="13" t="s">
        <v>6</v>
      </c>
      <c r="V72" s="13" t="s">
        <v>7</v>
      </c>
      <c r="W72" s="13" t="s">
        <v>8</v>
      </c>
      <c r="X72" t="s">
        <v>9</v>
      </c>
      <c r="AA72" t="s">
        <v>325</v>
      </c>
      <c r="AG72" t="s">
        <v>375</v>
      </c>
      <c r="AM72" t="s">
        <v>365</v>
      </c>
      <c r="AN72" t="s">
        <v>369</v>
      </c>
      <c r="AP72" t="s">
        <v>369</v>
      </c>
      <c r="AQ72">
        <f>$N$76*AO73</f>
        <v>0.66666666666666663</v>
      </c>
      <c r="AV72" s="20" t="s">
        <v>408</v>
      </c>
      <c r="AW72" s="40">
        <f t="shared" ref="AW72:BL72" si="93">(AW48/AW$49)*100</f>
        <v>0</v>
      </c>
      <c r="AX72" s="40">
        <f t="shared" si="93"/>
        <v>0</v>
      </c>
      <c r="AY72" s="40">
        <f t="shared" si="93"/>
        <v>0</v>
      </c>
      <c r="AZ72" s="40">
        <f t="shared" si="93"/>
        <v>0</v>
      </c>
      <c r="BA72" s="40">
        <f t="shared" si="93"/>
        <v>0</v>
      </c>
      <c r="BB72" s="40">
        <f t="shared" si="93"/>
        <v>0</v>
      </c>
      <c r="BC72" s="40">
        <f t="shared" si="93"/>
        <v>0</v>
      </c>
      <c r="BD72" s="40">
        <f t="shared" si="93"/>
        <v>0</v>
      </c>
      <c r="BE72" s="40">
        <f t="shared" si="93"/>
        <v>10</v>
      </c>
      <c r="BF72" s="40">
        <f t="shared" si="93"/>
        <v>0</v>
      </c>
      <c r="BG72" s="40">
        <f t="shared" si="93"/>
        <v>0</v>
      </c>
      <c r="BH72" s="40">
        <f t="shared" si="93"/>
        <v>0</v>
      </c>
      <c r="BI72" s="40">
        <f t="shared" si="93"/>
        <v>0</v>
      </c>
      <c r="BJ72" s="40">
        <f t="shared" si="93"/>
        <v>0</v>
      </c>
      <c r="BK72" s="40">
        <f t="shared" si="93"/>
        <v>0</v>
      </c>
      <c r="BL72" s="40">
        <f t="shared" si="93"/>
        <v>0</v>
      </c>
    </row>
    <row r="73" spans="4:77" ht="15.95">
      <c r="E73" s="5" t="s">
        <v>10</v>
      </c>
      <c r="F73">
        <v>11</v>
      </c>
      <c r="G73">
        <v>0</v>
      </c>
      <c r="H73">
        <v>0</v>
      </c>
      <c r="I73">
        <v>2</v>
      </c>
      <c r="J73">
        <v>0</v>
      </c>
      <c r="K73">
        <v>0</v>
      </c>
      <c r="L73">
        <v>1</v>
      </c>
      <c r="M73">
        <v>0</v>
      </c>
      <c r="N73">
        <v>14</v>
      </c>
      <c r="P73" s="5" t="s">
        <v>10</v>
      </c>
      <c r="Q73" s="15">
        <f t="shared" ref="Q73:Y74" si="94">F73/$N$76</f>
        <v>0.6470588235294118</v>
      </c>
      <c r="R73" s="15">
        <f t="shared" si="94"/>
        <v>0</v>
      </c>
      <c r="S73" s="15">
        <f t="shared" si="94"/>
        <v>0</v>
      </c>
      <c r="T73" s="15">
        <f t="shared" si="94"/>
        <v>0.11764705882352941</v>
      </c>
      <c r="U73" s="15">
        <f t="shared" si="94"/>
        <v>0</v>
      </c>
      <c r="V73" s="15">
        <f t="shared" si="94"/>
        <v>0</v>
      </c>
      <c r="W73" s="15">
        <f t="shared" si="94"/>
        <v>5.8823529411764705E-2</v>
      </c>
      <c r="X73" s="15">
        <f t="shared" si="94"/>
        <v>0</v>
      </c>
      <c r="Y73" s="15">
        <f t="shared" si="94"/>
        <v>0.82352941176470584</v>
      </c>
      <c r="Z73" s="16">
        <f>SUM(Q73:X73)</f>
        <v>0.82352941176470595</v>
      </c>
      <c r="AA73" t="s">
        <v>311</v>
      </c>
      <c r="AG73" t="s">
        <v>325</v>
      </c>
      <c r="AM73" t="s">
        <v>430</v>
      </c>
      <c r="AN73" t="s">
        <v>369</v>
      </c>
      <c r="AO73">
        <f>T73/3</f>
        <v>3.9215686274509803E-2</v>
      </c>
      <c r="AP73" t="s">
        <v>435</v>
      </c>
      <c r="AQ73">
        <f>$N$76*AO74</f>
        <v>0.66666666666666663</v>
      </c>
      <c r="AV73" t="s">
        <v>482</v>
      </c>
      <c r="AW73">
        <v>30</v>
      </c>
      <c r="AX73">
        <v>14</v>
      </c>
      <c r="AY73">
        <v>11</v>
      </c>
      <c r="AZ73">
        <v>11</v>
      </c>
      <c r="BA73">
        <v>9</v>
      </c>
      <c r="BB73">
        <v>15</v>
      </c>
      <c r="BC73">
        <v>1</v>
      </c>
      <c r="BD73">
        <v>7</v>
      </c>
      <c r="BE73">
        <v>10</v>
      </c>
      <c r="BF73">
        <v>12</v>
      </c>
      <c r="BG73">
        <v>4</v>
      </c>
      <c r="BH73">
        <v>2</v>
      </c>
      <c r="BI73">
        <v>4</v>
      </c>
      <c r="BJ73">
        <v>1</v>
      </c>
      <c r="BK73">
        <v>3</v>
      </c>
      <c r="BL73">
        <v>2</v>
      </c>
    </row>
    <row r="74" spans="4:77" ht="15.95">
      <c r="E74" s="5" t="s">
        <v>11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P74" s="5" t="s">
        <v>11</v>
      </c>
      <c r="Q74" s="15">
        <f t="shared" si="94"/>
        <v>0.17647058823529413</v>
      </c>
      <c r="R74" s="15">
        <f t="shared" si="94"/>
        <v>0</v>
      </c>
      <c r="S74" s="15">
        <f t="shared" si="94"/>
        <v>0</v>
      </c>
      <c r="T74" s="15">
        <f t="shared" si="94"/>
        <v>0</v>
      </c>
      <c r="U74" s="15">
        <f t="shared" si="94"/>
        <v>0</v>
      </c>
      <c r="V74" s="15">
        <f t="shared" si="94"/>
        <v>0</v>
      </c>
      <c r="W74" s="15">
        <f t="shared" si="94"/>
        <v>0</v>
      </c>
      <c r="X74" s="15">
        <f t="shared" si="94"/>
        <v>0</v>
      </c>
      <c r="Y74" s="15">
        <f t="shared" si="94"/>
        <v>0.17647058823529413</v>
      </c>
      <c r="Z74" s="16">
        <f>SUM(Q74:X74)</f>
        <v>0.17647058823529413</v>
      </c>
      <c r="AA74" t="s">
        <v>311</v>
      </c>
      <c r="AG74" t="s">
        <v>311</v>
      </c>
      <c r="AM74" t="s">
        <v>434</v>
      </c>
      <c r="AN74" t="s">
        <v>435</v>
      </c>
      <c r="AO74">
        <f>T73/3</f>
        <v>3.9215686274509803E-2</v>
      </c>
      <c r="AP74" t="s">
        <v>293</v>
      </c>
      <c r="AQ74">
        <f>$N$76*AO75</f>
        <v>0.66666666666666663</v>
      </c>
      <c r="AS74" s="2" t="s">
        <v>483</v>
      </c>
      <c r="AT74" s="2">
        <f>AM52+AM71+AM85+AM100+AM116+AM130+AM146+AM159+AM170+AA170+AA159+AG159+AG146+AA146+AA130+AG130+AA116+AG116+AA100+AG100+AA85+AG85+AA71+AG71</f>
        <v>125</v>
      </c>
    </row>
    <row r="75" spans="4:77" ht="15.95">
      <c r="E75" t="s">
        <v>12</v>
      </c>
      <c r="P75" t="s">
        <v>12</v>
      </c>
      <c r="Q75" s="15">
        <f t="shared" ref="Q75" si="95">F75/$N$56</f>
        <v>0</v>
      </c>
      <c r="R75" s="15">
        <f t="shared" ref="R75" si="96">G75/$N$56</f>
        <v>0</v>
      </c>
      <c r="S75" s="15">
        <f t="shared" ref="S75" si="97">H75/$N$56</f>
        <v>0</v>
      </c>
      <c r="T75" s="15">
        <f t="shared" ref="T75" si="98">I75/$N$56</f>
        <v>0</v>
      </c>
      <c r="U75" s="15">
        <f t="shared" ref="U75" si="99">J75/$N$56</f>
        <v>0</v>
      </c>
      <c r="V75" s="15">
        <f t="shared" ref="V75" si="100">K75/$N$56</f>
        <v>0</v>
      </c>
      <c r="W75" s="15">
        <f t="shared" ref="W75" si="101">L75/$N$56</f>
        <v>0</v>
      </c>
      <c r="X75" s="15">
        <f t="shared" ref="X75" si="102">M75/$N$56</f>
        <v>0</v>
      </c>
      <c r="Y75" s="15"/>
      <c r="Z75" s="16">
        <f>SUM(Z73:Z74)</f>
        <v>1</v>
      </c>
      <c r="AA75" t="s">
        <v>311</v>
      </c>
      <c r="AM75" t="s">
        <v>401</v>
      </c>
      <c r="AN75" t="s">
        <v>293</v>
      </c>
      <c r="AO75">
        <f>T73/3</f>
        <v>3.9215686274509803E-2</v>
      </c>
      <c r="AP75" t="s">
        <v>321</v>
      </c>
      <c r="AQ75">
        <f>$N$76*AO76</f>
        <v>5.5</v>
      </c>
      <c r="AS75" s="2"/>
      <c r="AT75" s="2"/>
      <c r="AU75" t="s">
        <v>419</v>
      </c>
    </row>
    <row r="76" spans="4:77">
      <c r="N76">
        <f>SUM(N73:N74)</f>
        <v>17</v>
      </c>
      <c r="Y76" s="16">
        <f t="shared" si="77"/>
        <v>1</v>
      </c>
      <c r="AM76" t="s">
        <v>331</v>
      </c>
      <c r="AN76" t="s">
        <v>321</v>
      </c>
      <c r="AO76">
        <f>Q73/2</f>
        <v>0.3235294117647059</v>
      </c>
      <c r="AP76" t="s">
        <v>340</v>
      </c>
      <c r="AQ76">
        <f>$N$76*AO77</f>
        <v>5.5</v>
      </c>
      <c r="AV76" s="19" t="s">
        <v>484</v>
      </c>
      <c r="AW76" s="20" t="s">
        <v>344</v>
      </c>
      <c r="AX76" s="20" t="s">
        <v>313</v>
      </c>
      <c r="AY76" s="20" t="s">
        <v>421</v>
      </c>
      <c r="AZ76" s="20" t="s">
        <v>375</v>
      </c>
      <c r="BA76" s="20" t="s">
        <v>422</v>
      </c>
      <c r="BB76" s="20" t="s">
        <v>323</v>
      </c>
      <c r="BC76" s="20" t="s">
        <v>423</v>
      </c>
      <c r="BD76" s="20" t="s">
        <v>351</v>
      </c>
      <c r="BE76" s="20" t="s">
        <v>424</v>
      </c>
      <c r="BF76" s="20" t="s">
        <v>425</v>
      </c>
      <c r="BG76" s="20" t="s">
        <v>377</v>
      </c>
      <c r="BH76" s="20" t="s">
        <v>426</v>
      </c>
      <c r="BI76" s="20" t="s">
        <v>427</v>
      </c>
      <c r="BJ76" s="20" t="s">
        <v>333</v>
      </c>
      <c r="BK76" s="20" t="s">
        <v>428</v>
      </c>
      <c r="BL76" s="20" t="s">
        <v>429</v>
      </c>
    </row>
    <row r="77" spans="4:77" ht="15.95">
      <c r="D77" t="s">
        <v>26</v>
      </c>
      <c r="E77" s="5" t="s">
        <v>30</v>
      </c>
      <c r="F77" t="s">
        <v>25</v>
      </c>
      <c r="G77" t="s">
        <v>3</v>
      </c>
      <c r="H77" t="s">
        <v>4</v>
      </c>
      <c r="I77" t="s">
        <v>5</v>
      </c>
      <c r="J77" t="s">
        <v>6</v>
      </c>
      <c r="K77" t="s">
        <v>7</v>
      </c>
      <c r="L77" t="s">
        <v>8</v>
      </c>
      <c r="M77" t="s">
        <v>9</v>
      </c>
      <c r="O77" t="s">
        <v>341</v>
      </c>
      <c r="P77" s="5" t="s">
        <v>30</v>
      </c>
      <c r="Q77" t="s">
        <v>25</v>
      </c>
      <c r="R77" s="13" t="s">
        <v>14</v>
      </c>
      <c r="S77" t="s">
        <v>4</v>
      </c>
      <c r="T77" s="13" t="s">
        <v>5</v>
      </c>
      <c r="U77" s="13" t="s">
        <v>6</v>
      </c>
      <c r="V77" s="13" t="s">
        <v>7</v>
      </c>
      <c r="W77" s="13" t="s">
        <v>8</v>
      </c>
      <c r="X77" t="s">
        <v>9</v>
      </c>
      <c r="AM77" t="s">
        <v>339</v>
      </c>
      <c r="AN77" t="s">
        <v>340</v>
      </c>
      <c r="AO77">
        <f>Q73/2</f>
        <v>0.3235294117647059</v>
      </c>
      <c r="AV77" s="20" t="s">
        <v>286</v>
      </c>
      <c r="AW77" s="20">
        <v>12</v>
      </c>
      <c r="AX77" s="20">
        <v>2</v>
      </c>
      <c r="AY77" s="20"/>
      <c r="AZ77" s="20">
        <v>2</v>
      </c>
      <c r="BA77" s="20"/>
      <c r="BB77" s="20">
        <v>2</v>
      </c>
      <c r="BC77" s="20"/>
      <c r="BD77" s="20"/>
      <c r="BE77" s="20"/>
      <c r="BF77" s="20"/>
      <c r="BG77" s="20">
        <v>1</v>
      </c>
      <c r="BH77" s="20"/>
      <c r="BI77" s="20"/>
      <c r="BJ77" s="20"/>
      <c r="BK77" s="20"/>
      <c r="BL77" s="20"/>
      <c r="BM77">
        <f t="shared" ref="BM77:BM97" si="103">SUM(AW77:BL77)</f>
        <v>19</v>
      </c>
      <c r="BN77">
        <f>BM77/BM98</f>
        <v>0.21111111111111111</v>
      </c>
    </row>
    <row r="78" spans="4:77" ht="15.95">
      <c r="E78" s="5" t="s">
        <v>10</v>
      </c>
      <c r="F78">
        <v>22</v>
      </c>
      <c r="G78">
        <v>1</v>
      </c>
      <c r="H78">
        <v>0</v>
      </c>
      <c r="I78">
        <v>3</v>
      </c>
      <c r="J78">
        <v>0</v>
      </c>
      <c r="K78">
        <v>0</v>
      </c>
      <c r="L78">
        <v>1</v>
      </c>
      <c r="M78">
        <v>0</v>
      </c>
      <c r="N78">
        <v>27</v>
      </c>
      <c r="P78" s="5" t="s">
        <v>10</v>
      </c>
      <c r="Q78" s="15">
        <f t="shared" ref="Q78:Y79" si="104">F78/$N$81</f>
        <v>0.6875</v>
      </c>
      <c r="R78" s="15">
        <f t="shared" si="104"/>
        <v>3.125E-2</v>
      </c>
      <c r="S78" s="15">
        <f t="shared" si="104"/>
        <v>0</v>
      </c>
      <c r="T78" s="15">
        <f t="shared" si="104"/>
        <v>9.375E-2</v>
      </c>
      <c r="U78" s="15">
        <f t="shared" si="104"/>
        <v>0</v>
      </c>
      <c r="V78" s="15">
        <f t="shared" si="104"/>
        <v>0</v>
      </c>
      <c r="W78" s="15">
        <f t="shared" si="104"/>
        <v>3.125E-2</v>
      </c>
      <c r="X78" s="15">
        <f t="shared" si="104"/>
        <v>0</v>
      </c>
      <c r="Y78" s="15">
        <f t="shared" si="104"/>
        <v>0.84375</v>
      </c>
      <c r="Z78" s="16">
        <f>SUM(Q78:X78)</f>
        <v>0.84375</v>
      </c>
      <c r="AV78" s="20" t="s">
        <v>296</v>
      </c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>
        <f t="shared" si="103"/>
        <v>0</v>
      </c>
    </row>
    <row r="79" spans="4:77" ht="15.95">
      <c r="E79" s="5" t="s">
        <v>11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P79" s="5" t="s">
        <v>11</v>
      </c>
      <c r="Q79" s="15">
        <f t="shared" si="104"/>
        <v>0.15625</v>
      </c>
      <c r="R79" s="15">
        <f t="shared" si="104"/>
        <v>0</v>
      </c>
      <c r="S79" s="15">
        <f t="shared" si="104"/>
        <v>0</v>
      </c>
      <c r="T79" s="15">
        <f t="shared" si="104"/>
        <v>0</v>
      </c>
      <c r="U79" s="15">
        <f t="shared" si="104"/>
        <v>0</v>
      </c>
      <c r="V79" s="15">
        <f t="shared" si="104"/>
        <v>0</v>
      </c>
      <c r="W79" s="15">
        <f t="shared" si="104"/>
        <v>0</v>
      </c>
      <c r="X79" s="15">
        <f t="shared" si="104"/>
        <v>0</v>
      </c>
      <c r="Y79" s="15">
        <f t="shared" si="104"/>
        <v>0.15625</v>
      </c>
      <c r="Z79" s="16">
        <f>SUM(Q79:X79)</f>
        <v>0.15625</v>
      </c>
      <c r="AV79" s="20" t="s">
        <v>338</v>
      </c>
      <c r="AW79" s="20">
        <v>3</v>
      </c>
      <c r="AX79" s="20"/>
      <c r="AY79" s="20"/>
      <c r="AZ79" s="20"/>
      <c r="BA79" s="20"/>
      <c r="BB79" s="20"/>
      <c r="BC79" s="20"/>
      <c r="BD79" s="20">
        <v>1</v>
      </c>
      <c r="BE79" s="20"/>
      <c r="BF79" s="20"/>
      <c r="BG79" s="20"/>
      <c r="BH79" s="20"/>
      <c r="BI79" s="20"/>
      <c r="BJ79" s="20"/>
      <c r="BK79" s="20"/>
      <c r="BL79" s="20"/>
      <c r="BM79">
        <f t="shared" si="103"/>
        <v>4</v>
      </c>
    </row>
    <row r="80" spans="4:77" ht="15.95">
      <c r="E80" t="s">
        <v>12</v>
      </c>
      <c r="F80" t="e">
        <v>#DIV/0!</v>
      </c>
      <c r="G80" t="e">
        <v>#DIV/0!</v>
      </c>
      <c r="H80" t="e">
        <v>#DIV/0!</v>
      </c>
      <c r="I80" t="e">
        <v>#DIV/0!</v>
      </c>
      <c r="J80" t="e">
        <v>#DIV/0!</v>
      </c>
      <c r="K80" t="e">
        <v>#DIV/0!</v>
      </c>
      <c r="L80" t="e">
        <v>#DIV/0!</v>
      </c>
      <c r="M80" t="e">
        <v>#DIV/0!</v>
      </c>
      <c r="P80" t="s">
        <v>12</v>
      </c>
      <c r="Q80" s="15" t="e">
        <f t="shared" ref="Q80" si="105">F80/$N$56</f>
        <v>#DIV/0!</v>
      </c>
      <c r="R80" s="15" t="e">
        <f t="shared" ref="R80" si="106">G80/$N$56</f>
        <v>#DIV/0!</v>
      </c>
      <c r="S80" s="15" t="e">
        <f t="shared" ref="S80" si="107">H80/$N$56</f>
        <v>#DIV/0!</v>
      </c>
      <c r="T80" s="15" t="e">
        <f t="shared" ref="T80" si="108">I80/$N$56</f>
        <v>#DIV/0!</v>
      </c>
      <c r="U80" s="15" t="e">
        <f t="shared" ref="U80" si="109">J80/$N$56</f>
        <v>#DIV/0!</v>
      </c>
      <c r="V80" s="15" t="e">
        <f t="shared" ref="V80" si="110">K80/$N$56</f>
        <v>#DIV/0!</v>
      </c>
      <c r="W80" s="15" t="e">
        <f t="shared" ref="W80" si="111">L80/$N$56</f>
        <v>#DIV/0!</v>
      </c>
      <c r="X80" s="15" t="e">
        <f t="shared" ref="X80" si="112">M80/$N$56</f>
        <v>#DIV/0!</v>
      </c>
      <c r="Y80" s="15"/>
      <c r="Z80" s="16">
        <f>SUM(Z78:Z79)</f>
        <v>1</v>
      </c>
      <c r="AV80" s="20" t="s">
        <v>343</v>
      </c>
      <c r="AW80" s="20">
        <v>1</v>
      </c>
      <c r="AX80" s="20"/>
      <c r="AY80" s="20"/>
      <c r="AZ80" s="20">
        <v>1</v>
      </c>
      <c r="BA80" s="20"/>
      <c r="BB80" s="20"/>
      <c r="BC80" s="20"/>
      <c r="BD80" s="20"/>
      <c r="BE80" s="20"/>
      <c r="BF80" s="20"/>
      <c r="BG80" s="20">
        <v>1</v>
      </c>
      <c r="BH80" s="20"/>
      <c r="BI80" s="20"/>
      <c r="BJ80" s="20"/>
      <c r="BK80" s="20"/>
      <c r="BL80" s="20"/>
      <c r="BM80">
        <f t="shared" si="103"/>
        <v>3</v>
      </c>
      <c r="BP80" s="37"/>
    </row>
    <row r="81" spans="4:68">
      <c r="N81">
        <f>SUM(N78:N79)</f>
        <v>32</v>
      </c>
      <c r="Y81" s="16">
        <f t="shared" si="77"/>
        <v>1</v>
      </c>
      <c r="AV81" s="20" t="s">
        <v>295</v>
      </c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>
        <f t="shared" si="103"/>
        <v>0</v>
      </c>
    </row>
    <row r="82" spans="4:68" ht="15.95">
      <c r="D82" t="s">
        <v>26</v>
      </c>
      <c r="E82" s="5" t="s">
        <v>31</v>
      </c>
      <c r="F82" t="s">
        <v>25</v>
      </c>
      <c r="G82" t="s">
        <v>3</v>
      </c>
      <c r="H82" t="s">
        <v>4</v>
      </c>
      <c r="I82" t="s">
        <v>5</v>
      </c>
      <c r="J82" t="s">
        <v>6</v>
      </c>
      <c r="K82" t="s">
        <v>7</v>
      </c>
      <c r="L82" t="s">
        <v>8</v>
      </c>
      <c r="M82" t="s">
        <v>9</v>
      </c>
      <c r="O82" t="s">
        <v>341</v>
      </c>
      <c r="P82" s="5" t="s">
        <v>31</v>
      </c>
      <c r="Q82" t="s">
        <v>25</v>
      </c>
      <c r="R82" s="13" t="s">
        <v>14</v>
      </c>
      <c r="S82" t="s">
        <v>4</v>
      </c>
      <c r="T82" s="13" t="s">
        <v>5</v>
      </c>
      <c r="U82" s="13" t="s">
        <v>6</v>
      </c>
      <c r="V82" s="13" t="s">
        <v>7</v>
      </c>
      <c r="W82" s="13" t="s">
        <v>8</v>
      </c>
      <c r="X82" t="s">
        <v>9</v>
      </c>
      <c r="AV82" s="21" t="s">
        <v>317</v>
      </c>
      <c r="AW82" s="20">
        <v>2</v>
      </c>
      <c r="AX82" s="20">
        <v>2</v>
      </c>
      <c r="AY82" s="20"/>
      <c r="AZ82" s="20">
        <v>2</v>
      </c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>
        <f t="shared" si="103"/>
        <v>6</v>
      </c>
    </row>
    <row r="83" spans="4:68" ht="15.95">
      <c r="E83" s="5" t="s">
        <v>10</v>
      </c>
      <c r="F83">
        <v>14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16</v>
      </c>
      <c r="P83" s="5" t="s">
        <v>10</v>
      </c>
      <c r="Q83" s="15">
        <f t="shared" ref="Q83:Y84" si="113">F83/$N$86</f>
        <v>0.77777777777777779</v>
      </c>
      <c r="R83" s="15">
        <f t="shared" si="113"/>
        <v>0</v>
      </c>
      <c r="S83" s="15">
        <f t="shared" si="113"/>
        <v>0</v>
      </c>
      <c r="T83" s="15">
        <f t="shared" si="113"/>
        <v>0</v>
      </c>
      <c r="U83" s="15">
        <f t="shared" si="113"/>
        <v>5.5555555555555552E-2</v>
      </c>
      <c r="V83" s="15">
        <f t="shared" si="113"/>
        <v>0</v>
      </c>
      <c r="W83" s="15">
        <f t="shared" si="113"/>
        <v>5.5555555555555552E-2</v>
      </c>
      <c r="X83" s="15">
        <f t="shared" si="113"/>
        <v>0</v>
      </c>
      <c r="Y83" s="15">
        <f t="shared" si="113"/>
        <v>0.88888888888888884</v>
      </c>
      <c r="Z83" s="16">
        <f>SUM(Q83:X83)</f>
        <v>0.88888888888888895</v>
      </c>
      <c r="AV83" s="20" t="s">
        <v>320</v>
      </c>
      <c r="AW83" s="20"/>
      <c r="AX83" s="20"/>
      <c r="AY83" s="20"/>
      <c r="AZ83" s="20"/>
      <c r="BA83" s="20"/>
      <c r="BB83" s="20"/>
      <c r="BC83" s="20"/>
      <c r="BD83" s="20">
        <v>1</v>
      </c>
      <c r="BE83" s="20"/>
      <c r="BF83" s="20"/>
      <c r="BG83" s="20"/>
      <c r="BH83" s="20"/>
      <c r="BI83" s="20"/>
      <c r="BJ83" s="20"/>
      <c r="BK83" s="20"/>
      <c r="BL83" s="20"/>
      <c r="BM83">
        <f t="shared" si="103"/>
        <v>1</v>
      </c>
    </row>
    <row r="84" spans="4:68" ht="15.95">
      <c r="E84" s="5" t="s">
        <v>11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P84" s="5" t="s">
        <v>11</v>
      </c>
      <c r="Q84" s="15">
        <f t="shared" si="113"/>
        <v>0.1111111111111111</v>
      </c>
      <c r="R84" s="15">
        <f t="shared" si="113"/>
        <v>0</v>
      </c>
      <c r="S84" s="15">
        <f t="shared" si="113"/>
        <v>0</v>
      </c>
      <c r="T84" s="15">
        <f t="shared" si="113"/>
        <v>0</v>
      </c>
      <c r="U84" s="15">
        <f t="shared" si="113"/>
        <v>0</v>
      </c>
      <c r="V84" s="15">
        <f t="shared" si="113"/>
        <v>0</v>
      </c>
      <c r="W84" s="15">
        <f t="shared" si="113"/>
        <v>0</v>
      </c>
      <c r="X84" s="15">
        <f t="shared" si="113"/>
        <v>0</v>
      </c>
      <c r="Y84" s="15">
        <f t="shared" si="113"/>
        <v>0.1111111111111111</v>
      </c>
      <c r="Z84" s="16">
        <f>SUM(Q84:X84)</f>
        <v>0.1111111111111111</v>
      </c>
      <c r="AV84" s="20" t="s">
        <v>314</v>
      </c>
      <c r="AW84" s="20">
        <v>2</v>
      </c>
      <c r="AX84" s="20">
        <v>1</v>
      </c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>
        <f t="shared" si="103"/>
        <v>3</v>
      </c>
      <c r="BP84" s="38"/>
    </row>
    <row r="85" spans="4:68" ht="15.95">
      <c r="E85" t="s">
        <v>12</v>
      </c>
      <c r="F85" t="e">
        <v>#DIV/0!</v>
      </c>
      <c r="G85" t="e">
        <v>#DIV/0!</v>
      </c>
      <c r="H85" t="e">
        <v>#DIV/0!</v>
      </c>
      <c r="I85" t="e">
        <v>#DIV/0!</v>
      </c>
      <c r="J85" t="e">
        <v>#DIV/0!</v>
      </c>
      <c r="K85" t="e">
        <v>#DIV/0!</v>
      </c>
      <c r="L85" t="e">
        <v>#DIV/0!</v>
      </c>
      <c r="M85" t="e">
        <v>#DIV/0!</v>
      </c>
      <c r="P85" t="s">
        <v>12</v>
      </c>
      <c r="Q85" s="15" t="e">
        <f t="shared" ref="Q85" si="114">F85/$N$56</f>
        <v>#DIV/0!</v>
      </c>
      <c r="R85" s="15" t="e">
        <f t="shared" ref="R85" si="115">G85/$N$56</f>
        <v>#DIV/0!</v>
      </c>
      <c r="S85" s="15" t="e">
        <f t="shared" ref="S85" si="116">H85/$N$56</f>
        <v>#DIV/0!</v>
      </c>
      <c r="T85" s="15" t="e">
        <f t="shared" ref="T85" si="117">I85/$N$56</f>
        <v>#DIV/0!</v>
      </c>
      <c r="U85" s="15" t="e">
        <f t="shared" ref="U85" si="118">J85/$N$56</f>
        <v>#DIV/0!</v>
      </c>
      <c r="V85" s="15" t="e">
        <f t="shared" ref="V85" si="119">K85/$N$56</f>
        <v>#DIV/0!</v>
      </c>
      <c r="W85" s="15" t="e">
        <f t="shared" ref="W85" si="120">L85/$N$56</f>
        <v>#DIV/0!</v>
      </c>
      <c r="X85" s="15" t="e">
        <f t="shared" ref="X85" si="121">M85/$N$56</f>
        <v>#DIV/0!</v>
      </c>
      <c r="Y85" s="15"/>
      <c r="Z85" s="16">
        <f>SUM(Z83:Z84)</f>
        <v>1</v>
      </c>
      <c r="AA85">
        <v>8</v>
      </c>
      <c r="AB85" t="s">
        <v>485</v>
      </c>
      <c r="AG85">
        <v>3</v>
      </c>
      <c r="AH85" t="s">
        <v>486</v>
      </c>
      <c r="AM85">
        <v>5</v>
      </c>
      <c r="AN85" t="s">
        <v>487</v>
      </c>
      <c r="AV85" s="20" t="s">
        <v>283</v>
      </c>
      <c r="AW85" s="20">
        <v>3</v>
      </c>
      <c r="AX85" s="20">
        <v>1</v>
      </c>
      <c r="AY85" s="20"/>
      <c r="AZ85" s="20"/>
      <c r="BA85" s="20"/>
      <c r="BB85" s="20"/>
      <c r="BC85" s="20"/>
      <c r="BD85" s="20"/>
      <c r="BE85" s="20"/>
      <c r="BF85" s="20"/>
      <c r="BG85" s="20">
        <v>1</v>
      </c>
      <c r="BH85" s="20"/>
      <c r="BI85" s="20"/>
      <c r="BJ85" s="20"/>
      <c r="BK85" s="20"/>
      <c r="BL85" s="20"/>
      <c r="BM85">
        <f t="shared" si="103"/>
        <v>5</v>
      </c>
      <c r="BN85" s="38"/>
    </row>
    <row r="86" spans="4:68">
      <c r="N86">
        <f>SUM(N83:N84)</f>
        <v>18</v>
      </c>
      <c r="Y86" s="16">
        <f t="shared" si="77"/>
        <v>1</v>
      </c>
      <c r="AA86" t="s">
        <v>313</v>
      </c>
      <c r="AB86" t="s">
        <v>314</v>
      </c>
      <c r="AC86" s="16">
        <f>Q79</f>
        <v>0.15625</v>
      </c>
      <c r="AD86" t="s">
        <v>314</v>
      </c>
      <c r="AE86" s="16">
        <f>AC86</f>
        <v>0.15625</v>
      </c>
      <c r="AF86">
        <f t="shared" ref="AF86:AF92" si="122">$N$81*AE86</f>
        <v>5</v>
      </c>
      <c r="AG86" t="s">
        <v>311</v>
      </c>
      <c r="AM86" t="s">
        <v>488</v>
      </c>
      <c r="AV86" s="20" t="s">
        <v>328</v>
      </c>
      <c r="AW86" s="20"/>
      <c r="AX86" s="20"/>
      <c r="AY86" s="20"/>
      <c r="AZ86" s="20"/>
      <c r="BA86" s="20"/>
      <c r="BB86" s="20">
        <v>1</v>
      </c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>
        <f t="shared" si="103"/>
        <v>1</v>
      </c>
    </row>
    <row r="87" spans="4:68" ht="15.95">
      <c r="D87" t="s">
        <v>26</v>
      </c>
      <c r="E87" s="5" t="s">
        <v>32</v>
      </c>
      <c r="F87" t="s">
        <v>25</v>
      </c>
      <c r="G87" t="s">
        <v>3</v>
      </c>
      <c r="H87" t="s">
        <v>4</v>
      </c>
      <c r="I87" t="s">
        <v>5</v>
      </c>
      <c r="J87" t="s">
        <v>6</v>
      </c>
      <c r="K87" t="s">
        <v>7</v>
      </c>
      <c r="L87" t="s">
        <v>8</v>
      </c>
      <c r="M87" t="s">
        <v>9</v>
      </c>
      <c r="O87" t="s">
        <v>341</v>
      </c>
      <c r="P87" s="5" t="s">
        <v>32</v>
      </c>
      <c r="Q87" t="s">
        <v>25</v>
      </c>
      <c r="R87" s="13" t="s">
        <v>14</v>
      </c>
      <c r="S87" t="s">
        <v>4</v>
      </c>
      <c r="T87" s="13" t="s">
        <v>5</v>
      </c>
      <c r="U87" s="13" t="s">
        <v>6</v>
      </c>
      <c r="V87" s="13" t="s">
        <v>7</v>
      </c>
      <c r="W87" s="13" t="s">
        <v>8</v>
      </c>
      <c r="X87" t="s">
        <v>9</v>
      </c>
      <c r="AA87" t="s">
        <v>344</v>
      </c>
      <c r="AB87" t="s">
        <v>283</v>
      </c>
      <c r="AC87">
        <f>Q78/3</f>
        <v>0.22916666666666666</v>
      </c>
      <c r="AD87" t="s">
        <v>283</v>
      </c>
      <c r="AE87" s="16">
        <f t="shared" ref="AE87:AE92" si="123">AC87</f>
        <v>0.22916666666666666</v>
      </c>
      <c r="AF87">
        <f t="shared" si="122"/>
        <v>7.333333333333333</v>
      </c>
      <c r="AG87" t="s">
        <v>323</v>
      </c>
      <c r="AM87" t="s">
        <v>488</v>
      </c>
      <c r="AV87" s="20" t="s">
        <v>371</v>
      </c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>
        <f t="shared" si="103"/>
        <v>0</v>
      </c>
      <c r="BN87" s="38"/>
    </row>
    <row r="88" spans="4:68" ht="15.95">
      <c r="E88" s="5" t="s">
        <v>10</v>
      </c>
      <c r="F88">
        <v>5</v>
      </c>
      <c r="G88">
        <v>0</v>
      </c>
      <c r="H88">
        <v>0</v>
      </c>
      <c r="I88">
        <v>2</v>
      </c>
      <c r="J88">
        <v>0</v>
      </c>
      <c r="K88">
        <v>1</v>
      </c>
      <c r="L88">
        <v>0</v>
      </c>
      <c r="M88">
        <v>0</v>
      </c>
      <c r="N88">
        <v>8</v>
      </c>
      <c r="P88" s="5" t="s">
        <v>10</v>
      </c>
      <c r="Q88" s="15">
        <f t="shared" ref="Q88:Y89" si="124">F88/$N$91</f>
        <v>0.38461538461538464</v>
      </c>
      <c r="R88" s="15">
        <f t="shared" si="124"/>
        <v>0</v>
      </c>
      <c r="S88" s="15">
        <f t="shared" si="124"/>
        <v>0</v>
      </c>
      <c r="T88" s="15">
        <f t="shared" si="124"/>
        <v>0.15384615384615385</v>
      </c>
      <c r="U88" s="15">
        <f t="shared" si="124"/>
        <v>0</v>
      </c>
      <c r="V88" s="15">
        <f t="shared" si="124"/>
        <v>7.6923076923076927E-2</v>
      </c>
      <c r="W88" s="15">
        <f t="shared" si="124"/>
        <v>0</v>
      </c>
      <c r="X88" s="15">
        <f t="shared" si="124"/>
        <v>0</v>
      </c>
      <c r="Y88" s="15">
        <f t="shared" si="124"/>
        <v>0.61538461538461542</v>
      </c>
      <c r="Z88" s="16">
        <f>SUM(Q88:X88)</f>
        <v>0.61538461538461542</v>
      </c>
      <c r="AA88" t="s">
        <v>344</v>
      </c>
      <c r="AB88" t="s">
        <v>338</v>
      </c>
      <c r="AC88">
        <f>Q78/3</f>
        <v>0.22916666666666666</v>
      </c>
      <c r="AD88" t="s">
        <v>338</v>
      </c>
      <c r="AE88" s="16">
        <f t="shared" si="123"/>
        <v>0.22916666666666666</v>
      </c>
      <c r="AF88">
        <f t="shared" si="122"/>
        <v>7.333333333333333</v>
      </c>
      <c r="AG88" t="s">
        <v>325</v>
      </c>
      <c r="AM88" t="s">
        <v>311</v>
      </c>
      <c r="AV88" s="20" t="s">
        <v>372</v>
      </c>
      <c r="AW88" s="20"/>
      <c r="AX88" s="20"/>
      <c r="AY88" s="20"/>
      <c r="AZ88" s="20"/>
      <c r="BA88" s="20"/>
      <c r="BB88" s="20">
        <v>1</v>
      </c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>
        <f t="shared" si="103"/>
        <v>1</v>
      </c>
      <c r="BP88" s="38"/>
    </row>
    <row r="89" spans="4:68" ht="15.95">
      <c r="E89" s="5" t="s">
        <v>11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</v>
      </c>
      <c r="P89" s="5" t="s">
        <v>11</v>
      </c>
      <c r="Q89" s="15">
        <f t="shared" si="124"/>
        <v>0.38461538461538464</v>
      </c>
      <c r="R89" s="15">
        <f t="shared" si="124"/>
        <v>0</v>
      </c>
      <c r="S89" s="15">
        <f t="shared" si="124"/>
        <v>0</v>
      </c>
      <c r="T89" s="15">
        <f t="shared" si="124"/>
        <v>0</v>
      </c>
      <c r="U89" s="15">
        <f t="shared" si="124"/>
        <v>0</v>
      </c>
      <c r="V89" s="15">
        <f t="shared" si="124"/>
        <v>0</v>
      </c>
      <c r="W89" s="15">
        <f t="shared" si="124"/>
        <v>0</v>
      </c>
      <c r="X89" s="15">
        <f t="shared" si="124"/>
        <v>0</v>
      </c>
      <c r="Y89" s="15">
        <f t="shared" si="124"/>
        <v>0.38461538461538464</v>
      </c>
      <c r="Z89" s="16">
        <f>SUM(Q89:X89)</f>
        <v>0.38461538461538464</v>
      </c>
      <c r="AA89" t="s">
        <v>377</v>
      </c>
      <c r="AB89" t="s">
        <v>343</v>
      </c>
      <c r="AC89" s="16">
        <f>W78</f>
        <v>3.125E-2</v>
      </c>
      <c r="AD89" t="s">
        <v>343</v>
      </c>
      <c r="AE89" s="16">
        <f t="shared" si="123"/>
        <v>3.125E-2</v>
      </c>
      <c r="AF89">
        <f t="shared" si="122"/>
        <v>1</v>
      </c>
      <c r="AM89" t="s">
        <v>325</v>
      </c>
      <c r="AV89" s="20" t="s">
        <v>373</v>
      </c>
      <c r="AW89" s="20">
        <v>1</v>
      </c>
      <c r="AX89" s="20"/>
      <c r="AY89" s="20"/>
      <c r="AZ89" s="20">
        <v>1</v>
      </c>
      <c r="BA89" s="20"/>
      <c r="BB89" s="20">
        <v>2</v>
      </c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>
        <f t="shared" si="103"/>
        <v>4</v>
      </c>
    </row>
    <row r="90" spans="4:68" ht="15.95">
      <c r="E90" t="s">
        <v>12</v>
      </c>
      <c r="F90" t="e">
        <v>#DIV/0!</v>
      </c>
      <c r="G90" t="e">
        <v>#DIV/0!</v>
      </c>
      <c r="H90" t="e">
        <v>#DIV/0!</v>
      </c>
      <c r="I90" t="e">
        <v>#DIV/0!</v>
      </c>
      <c r="J90" t="e">
        <v>#DIV/0!</v>
      </c>
      <c r="K90" t="e">
        <v>#DIV/0!</v>
      </c>
      <c r="L90" t="e">
        <v>#DIV/0!</v>
      </c>
      <c r="M90" t="e">
        <v>#DIV/0!</v>
      </c>
      <c r="P90" t="s">
        <v>12</v>
      </c>
      <c r="Q90" s="15" t="e">
        <f t="shared" ref="Q90" si="125">F90/$N$56</f>
        <v>#DIV/0!</v>
      </c>
      <c r="R90" s="15" t="e">
        <f t="shared" ref="R90" si="126">G90/$N$56</f>
        <v>#DIV/0!</v>
      </c>
      <c r="S90" s="15" t="e">
        <f t="shared" ref="S90" si="127">H90/$N$56</f>
        <v>#DIV/0!</v>
      </c>
      <c r="T90" s="15" t="e">
        <f t="shared" ref="T90" si="128">I90/$N$56</f>
        <v>#DIV/0!</v>
      </c>
      <c r="U90" s="15" t="e">
        <f t="shared" ref="U90" si="129">J90/$N$56</f>
        <v>#DIV/0!</v>
      </c>
      <c r="V90" s="15" t="e">
        <f t="shared" ref="V90" si="130">K90/$N$56</f>
        <v>#DIV/0!</v>
      </c>
      <c r="W90" s="15" t="e">
        <f t="shared" ref="W90" si="131">L90/$N$56</f>
        <v>#DIV/0!</v>
      </c>
      <c r="X90" s="15" t="e">
        <f t="shared" ref="X90" si="132">M90/$N$56</f>
        <v>#DIV/0!</v>
      </c>
      <c r="Y90" s="15"/>
      <c r="Z90" s="16">
        <f>SUM(Z88:Z89)</f>
        <v>1</v>
      </c>
      <c r="AA90" t="s">
        <v>323</v>
      </c>
      <c r="AB90" t="s">
        <v>372</v>
      </c>
      <c r="AC90">
        <f>T78/2</f>
        <v>4.6875E-2</v>
      </c>
      <c r="AD90" t="s">
        <v>372</v>
      </c>
      <c r="AE90" s="16">
        <f t="shared" si="123"/>
        <v>4.6875E-2</v>
      </c>
      <c r="AF90">
        <f t="shared" si="122"/>
        <v>1.5</v>
      </c>
      <c r="AM90" t="s">
        <v>311</v>
      </c>
      <c r="AV90" s="20" t="s">
        <v>312</v>
      </c>
      <c r="AW90" s="20">
        <v>1</v>
      </c>
      <c r="AX90" s="20"/>
      <c r="AY90" s="20"/>
      <c r="AZ90" s="20">
        <v>1</v>
      </c>
      <c r="BA90" s="20"/>
      <c r="BB90" s="20">
        <v>1</v>
      </c>
      <c r="BC90" s="20"/>
      <c r="BD90" s="20"/>
      <c r="BE90" s="20"/>
      <c r="BF90" s="20"/>
      <c r="BG90" s="20">
        <v>1</v>
      </c>
      <c r="BH90" s="20"/>
      <c r="BI90" s="20">
        <v>1</v>
      </c>
      <c r="BJ90" s="20"/>
      <c r="BK90" s="20"/>
      <c r="BL90" s="20"/>
      <c r="BM90">
        <f t="shared" si="103"/>
        <v>5</v>
      </c>
    </row>
    <row r="91" spans="4:68">
      <c r="N91">
        <f>SUM(N88:N89)</f>
        <v>13</v>
      </c>
      <c r="Y91" s="16">
        <f t="shared" si="77"/>
        <v>1</v>
      </c>
      <c r="AA91" t="s">
        <v>344</v>
      </c>
      <c r="AB91" t="s">
        <v>286</v>
      </c>
      <c r="AC91">
        <f>Q78/3</f>
        <v>0.22916666666666666</v>
      </c>
      <c r="AD91" t="s">
        <v>286</v>
      </c>
      <c r="AE91" s="16">
        <f>AC91+AC93</f>
        <v>0.26041666666666663</v>
      </c>
      <c r="AF91">
        <f t="shared" si="122"/>
        <v>8.3333333333333321</v>
      </c>
      <c r="AV91" s="20" t="s">
        <v>382</v>
      </c>
      <c r="AW91" s="20">
        <v>2</v>
      </c>
      <c r="AX91" s="20"/>
      <c r="AY91" s="20"/>
      <c r="AZ91" s="20"/>
      <c r="BA91" s="20"/>
      <c r="BB91" s="20">
        <v>1</v>
      </c>
      <c r="BC91" s="20"/>
      <c r="BD91" s="20">
        <v>1</v>
      </c>
      <c r="BE91" s="20"/>
      <c r="BF91" s="20"/>
      <c r="BG91" s="20"/>
      <c r="BH91" s="20"/>
      <c r="BI91" s="20"/>
      <c r="BJ91" s="20"/>
      <c r="BK91" s="20"/>
      <c r="BL91" s="20"/>
      <c r="BM91">
        <f t="shared" si="103"/>
        <v>4</v>
      </c>
      <c r="BN91" s="38"/>
    </row>
    <row r="92" spans="4:68" ht="15.95">
      <c r="D92" t="s">
        <v>26</v>
      </c>
      <c r="E92" s="5" t="s">
        <v>33</v>
      </c>
      <c r="F92" t="s">
        <v>25</v>
      </c>
      <c r="G92" t="s">
        <v>3</v>
      </c>
      <c r="H92" t="s">
        <v>4</v>
      </c>
      <c r="I92" t="s">
        <v>5</v>
      </c>
      <c r="J92" t="s">
        <v>6</v>
      </c>
      <c r="K92" t="s">
        <v>7</v>
      </c>
      <c r="L92" t="s">
        <v>8</v>
      </c>
      <c r="M92" t="s">
        <v>9</v>
      </c>
      <c r="O92" t="s">
        <v>341</v>
      </c>
      <c r="P92" s="5" t="s">
        <v>33</v>
      </c>
      <c r="Q92" t="s">
        <v>25</v>
      </c>
      <c r="R92" s="13" t="s">
        <v>14</v>
      </c>
      <c r="S92" t="s">
        <v>4</v>
      </c>
      <c r="T92" s="13" t="s">
        <v>5</v>
      </c>
      <c r="U92" s="13" t="s">
        <v>6</v>
      </c>
      <c r="V92" s="13" t="s">
        <v>7</v>
      </c>
      <c r="W92" s="13" t="s">
        <v>8</v>
      </c>
      <c r="X92" t="s">
        <v>9</v>
      </c>
      <c r="AA92" t="s">
        <v>323</v>
      </c>
      <c r="AB92" t="s">
        <v>441</v>
      </c>
      <c r="AC92">
        <f>T78/2</f>
        <v>4.6875E-2</v>
      </c>
      <c r="AD92" t="s">
        <v>441</v>
      </c>
      <c r="AE92" s="16">
        <f t="shared" si="123"/>
        <v>4.6875E-2</v>
      </c>
      <c r="AF92">
        <f t="shared" si="122"/>
        <v>1.5</v>
      </c>
      <c r="AV92" s="20" t="s">
        <v>381</v>
      </c>
      <c r="AW92" s="20"/>
      <c r="AX92" s="20">
        <v>1</v>
      </c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>
        <f t="shared" si="103"/>
        <v>1</v>
      </c>
    </row>
    <row r="93" spans="4:68" ht="15.95">
      <c r="E93" s="5" t="s">
        <v>10</v>
      </c>
      <c r="F93">
        <v>12</v>
      </c>
      <c r="G93">
        <v>2</v>
      </c>
      <c r="H93">
        <v>0</v>
      </c>
      <c r="I93">
        <v>2</v>
      </c>
      <c r="J93">
        <v>0</v>
      </c>
      <c r="K93">
        <v>0</v>
      </c>
      <c r="L93">
        <v>1</v>
      </c>
      <c r="M93">
        <v>0</v>
      </c>
      <c r="N93">
        <v>17</v>
      </c>
      <c r="P93" s="5" t="s">
        <v>10</v>
      </c>
      <c r="Q93" s="15">
        <f t="shared" ref="Q93:Y94" si="133">F93/$N$96</f>
        <v>0.52173913043478259</v>
      </c>
      <c r="R93" s="15">
        <f t="shared" si="133"/>
        <v>8.6956521739130432E-2</v>
      </c>
      <c r="S93" s="15">
        <f t="shared" si="133"/>
        <v>0</v>
      </c>
      <c r="T93" s="15">
        <f t="shared" si="133"/>
        <v>8.6956521739130432E-2</v>
      </c>
      <c r="U93" s="15">
        <f t="shared" si="133"/>
        <v>0</v>
      </c>
      <c r="V93" s="15">
        <f t="shared" si="133"/>
        <v>0</v>
      </c>
      <c r="W93" s="15">
        <f t="shared" si="133"/>
        <v>4.3478260869565216E-2</v>
      </c>
      <c r="X93" s="15">
        <f t="shared" si="133"/>
        <v>0</v>
      </c>
      <c r="Y93" s="15">
        <f t="shared" si="133"/>
        <v>0.73913043478260865</v>
      </c>
      <c r="Z93" s="16">
        <f>SUM(Q93:X93)</f>
        <v>0.73913043478260865</v>
      </c>
      <c r="AA93" t="s">
        <v>375</v>
      </c>
      <c r="AB93" t="s">
        <v>286</v>
      </c>
      <c r="AC93" s="16">
        <f>R78</f>
        <v>3.125E-2</v>
      </c>
      <c r="AV93" s="20" t="s">
        <v>389</v>
      </c>
      <c r="AW93" s="20"/>
      <c r="AX93" s="20"/>
      <c r="AY93" s="20"/>
      <c r="AZ93" s="20">
        <v>1</v>
      </c>
      <c r="BA93" s="20"/>
      <c r="BB93" s="20">
        <v>2</v>
      </c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>
        <f t="shared" si="103"/>
        <v>3</v>
      </c>
    </row>
    <row r="94" spans="4:68" ht="15.95">
      <c r="E94" s="5" t="s">
        <v>11</v>
      </c>
      <c r="F94">
        <v>4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</v>
      </c>
      <c r="P94" s="5" t="s">
        <v>11</v>
      </c>
      <c r="Q94" s="15">
        <f t="shared" si="133"/>
        <v>0.17391304347826086</v>
      </c>
      <c r="R94" s="15">
        <f t="shared" si="133"/>
        <v>8.6956521739130432E-2</v>
      </c>
      <c r="S94" s="15">
        <f t="shared" si="133"/>
        <v>0</v>
      </c>
      <c r="T94" s="15">
        <f t="shared" si="133"/>
        <v>0</v>
      </c>
      <c r="U94" s="15">
        <f t="shared" si="133"/>
        <v>0</v>
      </c>
      <c r="V94" s="15">
        <f t="shared" si="133"/>
        <v>0</v>
      </c>
      <c r="W94" s="15">
        <f t="shared" si="133"/>
        <v>0</v>
      </c>
      <c r="X94" s="15">
        <f t="shared" si="133"/>
        <v>0</v>
      </c>
      <c r="Y94" s="15">
        <f t="shared" si="133"/>
        <v>0.2608695652173913</v>
      </c>
      <c r="Z94" s="16">
        <f>SUM(Q94:X94)</f>
        <v>0.2608695652173913</v>
      </c>
      <c r="AV94" s="20" t="s">
        <v>392</v>
      </c>
      <c r="AW94" s="20">
        <v>7</v>
      </c>
      <c r="AX94" s="20">
        <v>1</v>
      </c>
      <c r="AY94" s="20"/>
      <c r="AZ94" s="20">
        <v>2</v>
      </c>
      <c r="BA94" s="20">
        <v>1</v>
      </c>
      <c r="BB94" s="20">
        <v>1</v>
      </c>
      <c r="BC94" s="20"/>
      <c r="BD94" s="20">
        <v>1</v>
      </c>
      <c r="BE94" s="20"/>
      <c r="BF94" s="20"/>
      <c r="BG94" s="20">
        <v>1</v>
      </c>
      <c r="BH94" s="20"/>
      <c r="BI94" s="20"/>
      <c r="BJ94" s="20"/>
      <c r="BK94" s="20"/>
      <c r="BL94" s="20"/>
      <c r="BM94">
        <f t="shared" si="103"/>
        <v>14</v>
      </c>
      <c r="BN94">
        <f>BM94/BM98</f>
        <v>0.15555555555555556</v>
      </c>
    </row>
    <row r="95" spans="4:68" ht="15.95">
      <c r="E95" t="s">
        <v>12</v>
      </c>
      <c r="F95" t="e">
        <v>#DIV/0!</v>
      </c>
      <c r="G95" t="e">
        <v>#DIV/0!</v>
      </c>
      <c r="H95" t="e">
        <v>#DIV/0!</v>
      </c>
      <c r="I95" t="e">
        <v>#DIV/0!</v>
      </c>
      <c r="J95" t="e">
        <v>#DIV/0!</v>
      </c>
      <c r="K95" t="e">
        <v>#DIV/0!</v>
      </c>
      <c r="L95" t="e">
        <v>#DIV/0!</v>
      </c>
      <c r="M95" t="e">
        <v>#DIV/0!</v>
      </c>
      <c r="P95" t="s">
        <v>12</v>
      </c>
      <c r="Q95" s="15" t="e">
        <f t="shared" ref="Q95" si="134">F95/$N$56</f>
        <v>#DIV/0!</v>
      </c>
      <c r="R95" s="15" t="e">
        <f t="shared" ref="R95" si="135">G95/$N$56</f>
        <v>#DIV/0!</v>
      </c>
      <c r="S95" s="15" t="e">
        <f t="shared" ref="S95" si="136">H95/$N$56</f>
        <v>#DIV/0!</v>
      </c>
      <c r="T95" s="15" t="e">
        <f t="shared" ref="T95" si="137">I95/$N$56</f>
        <v>#DIV/0!</v>
      </c>
      <c r="U95" s="15" t="e">
        <f t="shared" ref="U95" si="138">J95/$N$56</f>
        <v>#DIV/0!</v>
      </c>
      <c r="V95" s="15" t="e">
        <f t="shared" ref="V95" si="139">K95/$N$56</f>
        <v>#DIV/0!</v>
      </c>
      <c r="W95" s="15" t="e">
        <f t="shared" ref="W95" si="140">L95/$N$56</f>
        <v>#DIV/0!</v>
      </c>
      <c r="X95" s="15" t="e">
        <f t="shared" ref="X95" si="141">M95/$N$56</f>
        <v>#DIV/0!</v>
      </c>
      <c r="Y95" s="15"/>
      <c r="Z95" s="16">
        <f>SUM(Z93:Z94)</f>
        <v>1</v>
      </c>
      <c r="AV95" s="20" t="s">
        <v>398</v>
      </c>
      <c r="AW95" s="20">
        <v>4</v>
      </c>
      <c r="AX95" s="20">
        <v>1</v>
      </c>
      <c r="AY95" s="20"/>
      <c r="AZ95" s="20">
        <v>1</v>
      </c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>
        <f t="shared" si="103"/>
        <v>6</v>
      </c>
    </row>
    <row r="96" spans="4:68">
      <c r="N96">
        <f>SUM(N93:N94)</f>
        <v>23</v>
      </c>
      <c r="Y96" s="16">
        <f t="shared" si="77"/>
        <v>1</v>
      </c>
      <c r="AV96" s="20" t="s">
        <v>404</v>
      </c>
      <c r="AW96" s="20">
        <v>2</v>
      </c>
      <c r="AX96" s="20">
        <v>1</v>
      </c>
      <c r="AY96" s="20"/>
      <c r="AZ96" s="20"/>
      <c r="BA96" s="20"/>
      <c r="BB96" s="20"/>
      <c r="BC96" s="20"/>
      <c r="BD96" s="20"/>
      <c r="BE96" s="20"/>
      <c r="BF96" s="20"/>
      <c r="BG96" s="20">
        <v>1</v>
      </c>
      <c r="BH96" s="20"/>
      <c r="BI96" s="20"/>
      <c r="BJ96" s="20">
        <v>1</v>
      </c>
      <c r="BK96" s="20"/>
      <c r="BL96" s="20"/>
      <c r="BM96">
        <f t="shared" si="103"/>
        <v>5</v>
      </c>
    </row>
    <row r="97" spans="4:66" ht="15.95">
      <c r="D97" t="s">
        <v>26</v>
      </c>
      <c r="E97" s="5" t="s">
        <v>34</v>
      </c>
      <c r="F97" t="s">
        <v>25</v>
      </c>
      <c r="G97" t="s">
        <v>3</v>
      </c>
      <c r="H97" t="s">
        <v>4</v>
      </c>
      <c r="I97" t="s">
        <v>5</v>
      </c>
      <c r="J97" t="s">
        <v>6</v>
      </c>
      <c r="K97" t="s">
        <v>7</v>
      </c>
      <c r="L97" t="s">
        <v>8</v>
      </c>
      <c r="M97" t="s">
        <v>9</v>
      </c>
      <c r="O97" t="s">
        <v>341</v>
      </c>
      <c r="P97" s="5" t="s">
        <v>34</v>
      </c>
      <c r="Q97" t="s">
        <v>25</v>
      </c>
      <c r="R97" s="13" t="s">
        <v>14</v>
      </c>
      <c r="S97" t="s">
        <v>4</v>
      </c>
      <c r="T97" s="13" t="s">
        <v>5</v>
      </c>
      <c r="U97" s="13" t="s">
        <v>6</v>
      </c>
      <c r="V97" s="13" t="s">
        <v>7</v>
      </c>
      <c r="W97" s="13" t="s">
        <v>8</v>
      </c>
      <c r="X97" t="s">
        <v>9</v>
      </c>
      <c r="AV97" s="20" t="s">
        <v>408</v>
      </c>
      <c r="AW97" s="20">
        <v>1</v>
      </c>
      <c r="AX97" s="20"/>
      <c r="AY97" s="20"/>
      <c r="AZ97" s="20">
        <v>2</v>
      </c>
      <c r="BA97" s="20"/>
      <c r="BB97" s="20"/>
      <c r="BC97" s="20"/>
      <c r="BD97" s="20">
        <v>1</v>
      </c>
      <c r="BE97" s="20"/>
      <c r="BF97" s="20"/>
      <c r="BG97" s="20">
        <v>1</v>
      </c>
      <c r="BH97" s="20"/>
      <c r="BI97" s="20"/>
      <c r="BJ97" s="20"/>
      <c r="BK97" s="20"/>
      <c r="BL97" s="20"/>
      <c r="BM97">
        <f t="shared" si="103"/>
        <v>5</v>
      </c>
    </row>
    <row r="98" spans="4:66" ht="15.95">
      <c r="E98" s="5" t="s">
        <v>10</v>
      </c>
      <c r="F98">
        <v>16</v>
      </c>
      <c r="G98">
        <v>0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19</v>
      </c>
      <c r="P98" s="5" t="s">
        <v>10</v>
      </c>
      <c r="Q98" s="15">
        <f t="shared" ref="Q98:Y99" si="142">F98/$N$101</f>
        <v>0.72727272727272729</v>
      </c>
      <c r="R98" s="15">
        <f t="shared" si="142"/>
        <v>0</v>
      </c>
      <c r="S98" s="15">
        <f t="shared" si="142"/>
        <v>0</v>
      </c>
      <c r="T98" s="15">
        <f t="shared" si="142"/>
        <v>9.0909090909090912E-2</v>
      </c>
      <c r="U98" s="15">
        <f t="shared" si="142"/>
        <v>4.5454545454545456E-2</v>
      </c>
      <c r="V98" s="15">
        <f t="shared" si="142"/>
        <v>0</v>
      </c>
      <c r="W98" s="15">
        <f t="shared" si="142"/>
        <v>0</v>
      </c>
      <c r="X98" s="15">
        <f t="shared" si="142"/>
        <v>0</v>
      </c>
      <c r="Y98" s="15">
        <f t="shared" si="142"/>
        <v>0.86363636363636365</v>
      </c>
      <c r="Z98" s="16">
        <f>SUM(Q98:X98)</f>
        <v>0.86363636363636365</v>
      </c>
      <c r="AW98">
        <f>SUM(AW77:AW97)</f>
        <v>41</v>
      </c>
      <c r="AX98">
        <f t="shared" ref="AX98:BL98" si="143">SUM(AX77:AX97)</f>
        <v>10</v>
      </c>
      <c r="AY98">
        <f t="shared" si="143"/>
        <v>0</v>
      </c>
      <c r="AZ98">
        <f t="shared" si="143"/>
        <v>13</v>
      </c>
      <c r="BA98">
        <f t="shared" si="143"/>
        <v>1</v>
      </c>
      <c r="BB98">
        <f t="shared" si="143"/>
        <v>11</v>
      </c>
      <c r="BC98">
        <f t="shared" si="143"/>
        <v>0</v>
      </c>
      <c r="BD98">
        <f t="shared" si="143"/>
        <v>5</v>
      </c>
      <c r="BE98">
        <f t="shared" si="143"/>
        <v>0</v>
      </c>
      <c r="BF98">
        <f t="shared" si="143"/>
        <v>0</v>
      </c>
      <c r="BG98">
        <f t="shared" si="143"/>
        <v>7</v>
      </c>
      <c r="BH98">
        <f t="shared" si="143"/>
        <v>0</v>
      </c>
      <c r="BI98">
        <f t="shared" si="143"/>
        <v>1</v>
      </c>
      <c r="BJ98">
        <f t="shared" si="143"/>
        <v>1</v>
      </c>
      <c r="BK98">
        <f t="shared" si="143"/>
        <v>0</v>
      </c>
      <c r="BL98">
        <f t="shared" si="143"/>
        <v>0</v>
      </c>
      <c r="BM98">
        <f>SUM(AW98:BL98)</f>
        <v>90</v>
      </c>
      <c r="BN98">
        <f>BM77/BM98</f>
        <v>0.21111111111111111</v>
      </c>
    </row>
    <row r="99" spans="4:66" ht="15.95">
      <c r="E99" s="5" t="s">
        <v>11</v>
      </c>
      <c r="F99">
        <v>2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P99" s="5" t="s">
        <v>11</v>
      </c>
      <c r="Q99" s="15">
        <f t="shared" si="142"/>
        <v>9.0909090909090912E-2</v>
      </c>
      <c r="R99" s="15">
        <f t="shared" si="142"/>
        <v>4.5454545454545456E-2</v>
      </c>
      <c r="S99" s="15">
        <f t="shared" si="142"/>
        <v>0</v>
      </c>
      <c r="T99" s="15">
        <f t="shared" si="142"/>
        <v>0</v>
      </c>
      <c r="U99" s="15">
        <f t="shared" si="142"/>
        <v>0</v>
      </c>
      <c r="V99" s="15">
        <f t="shared" si="142"/>
        <v>0</v>
      </c>
      <c r="W99" s="15">
        <f t="shared" si="142"/>
        <v>0</v>
      </c>
      <c r="X99" s="15">
        <f t="shared" si="142"/>
        <v>0</v>
      </c>
      <c r="Y99" s="15">
        <f t="shared" si="142"/>
        <v>0.13636363636363635</v>
      </c>
      <c r="Z99" s="16">
        <f>SUM(Q99:X99)</f>
        <v>0.13636363636363635</v>
      </c>
      <c r="AU99" s="2" t="s">
        <v>489</v>
      </c>
      <c r="AV99" s="2"/>
    </row>
    <row r="100" spans="4:66" ht="15.95">
      <c r="E100" t="s">
        <v>12</v>
      </c>
      <c r="F100" t="e">
        <v>#DIV/0!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  <c r="L100" t="e">
        <v>#DIV/0!</v>
      </c>
      <c r="M100" t="e">
        <v>#DIV/0!</v>
      </c>
      <c r="P100" t="s">
        <v>12</v>
      </c>
      <c r="Q100" s="15" t="e">
        <f t="shared" ref="Q100" si="144">F100/$N$56</f>
        <v>#DIV/0!</v>
      </c>
      <c r="R100" s="15" t="e">
        <f t="shared" ref="R100" si="145">G100/$N$56</f>
        <v>#DIV/0!</v>
      </c>
      <c r="S100" s="15" t="e">
        <f t="shared" ref="S100" si="146">H100/$N$56</f>
        <v>#DIV/0!</v>
      </c>
      <c r="T100" s="15" t="e">
        <f t="shared" ref="T100" si="147">I100/$N$56</f>
        <v>#DIV/0!</v>
      </c>
      <c r="U100" s="15" t="e">
        <f t="shared" ref="U100" si="148">J100/$N$56</f>
        <v>#DIV/0!</v>
      </c>
      <c r="V100" s="15" t="e">
        <f t="shared" ref="V100" si="149">K100/$N$56</f>
        <v>#DIV/0!</v>
      </c>
      <c r="W100" s="15" t="e">
        <f t="shared" ref="W100" si="150">L100/$N$56</f>
        <v>#DIV/0!</v>
      </c>
      <c r="X100" s="15" t="e">
        <f t="shared" ref="X100" si="151">M100/$N$56</f>
        <v>#DIV/0!</v>
      </c>
      <c r="Y100" s="15"/>
      <c r="Z100" s="16">
        <f>SUM(Z98:Z99)</f>
        <v>1</v>
      </c>
      <c r="AA100">
        <v>4</v>
      </c>
      <c r="AB100" t="s">
        <v>490</v>
      </c>
      <c r="AG100">
        <v>3</v>
      </c>
      <c r="AH100" t="s">
        <v>491</v>
      </c>
      <c r="AM100">
        <v>6</v>
      </c>
      <c r="AN100" t="s">
        <v>492</v>
      </c>
      <c r="AV100" s="19" t="s">
        <v>297</v>
      </c>
      <c r="AW100" s="20" t="s">
        <v>344</v>
      </c>
      <c r="AX100" s="20" t="s">
        <v>313</v>
      </c>
      <c r="AY100" s="20" t="s">
        <v>421</v>
      </c>
      <c r="AZ100" s="20" t="s">
        <v>375</v>
      </c>
      <c r="BA100" s="20" t="s">
        <v>422</v>
      </c>
      <c r="BB100" s="20" t="s">
        <v>323</v>
      </c>
      <c r="BC100" s="20" t="s">
        <v>423</v>
      </c>
      <c r="BD100" s="20" t="s">
        <v>351</v>
      </c>
      <c r="BE100" s="20" t="s">
        <v>424</v>
      </c>
      <c r="BF100" s="20" t="s">
        <v>425</v>
      </c>
      <c r="BG100" s="20" t="s">
        <v>377</v>
      </c>
      <c r="BH100" s="20" t="s">
        <v>426</v>
      </c>
      <c r="BI100" s="20" t="s">
        <v>427</v>
      </c>
      <c r="BJ100" s="20" t="s">
        <v>333</v>
      </c>
      <c r="BK100" s="20" t="s">
        <v>428</v>
      </c>
      <c r="BL100" s="20" t="s">
        <v>429</v>
      </c>
    </row>
    <row r="101" spans="4:66">
      <c r="N101">
        <f>SUM(N98:N99)</f>
        <v>22</v>
      </c>
      <c r="Y101" s="16">
        <f t="shared" si="77"/>
        <v>1</v>
      </c>
      <c r="AA101" t="s">
        <v>311</v>
      </c>
      <c r="AG101" t="s">
        <v>325</v>
      </c>
      <c r="AM101" t="s">
        <v>375</v>
      </c>
      <c r="AV101" s="20" t="s">
        <v>286</v>
      </c>
      <c r="AW101" s="40">
        <f>AW77/$AW$98</f>
        <v>0.29268292682926828</v>
      </c>
      <c r="AX101" s="40">
        <f>AX77/$AX$98</f>
        <v>0.2</v>
      </c>
      <c r="AY101" s="40"/>
      <c r="AZ101" s="40">
        <f>AZ77/$AZ$98</f>
        <v>0.15384615384615385</v>
      </c>
      <c r="BA101" s="40">
        <f>BA77/$BA$98</f>
        <v>0</v>
      </c>
      <c r="BB101" s="40">
        <f>BB77/$BB$98</f>
        <v>0.18181818181818182</v>
      </c>
      <c r="BC101" s="40"/>
      <c r="BD101" s="40">
        <f>BD77/$BD$98</f>
        <v>0</v>
      </c>
      <c r="BE101" s="40"/>
      <c r="BF101" s="40"/>
      <c r="BG101" s="40">
        <f>BG77/$BG$98</f>
        <v>0.14285714285714285</v>
      </c>
      <c r="BH101" s="40"/>
      <c r="BI101" s="40">
        <f>BI77/$BI$98</f>
        <v>0</v>
      </c>
      <c r="BJ101" s="40">
        <f>BJ77/$BJ$98</f>
        <v>0</v>
      </c>
      <c r="BK101" s="40"/>
      <c r="BL101" s="40"/>
    </row>
    <row r="102" spans="4:66" ht="15.95">
      <c r="D102" t="s">
        <v>26</v>
      </c>
      <c r="E102" s="5" t="s">
        <v>35</v>
      </c>
      <c r="F102" t="s">
        <v>25</v>
      </c>
      <c r="G102" t="s">
        <v>3</v>
      </c>
      <c r="H102" t="s">
        <v>4</v>
      </c>
      <c r="I102" t="s">
        <v>5</v>
      </c>
      <c r="J102" t="s">
        <v>6</v>
      </c>
      <c r="K102" t="s">
        <v>7</v>
      </c>
      <c r="L102" t="s">
        <v>8</v>
      </c>
      <c r="M102" t="s">
        <v>9</v>
      </c>
      <c r="O102" t="s">
        <v>341</v>
      </c>
      <c r="P102" s="5" t="s">
        <v>35</v>
      </c>
      <c r="Q102" t="s">
        <v>25</v>
      </c>
      <c r="R102" s="13" t="s">
        <v>14</v>
      </c>
      <c r="S102" t="s">
        <v>4</v>
      </c>
      <c r="T102" s="13" t="s">
        <v>5</v>
      </c>
      <c r="U102" s="13" t="s">
        <v>6</v>
      </c>
      <c r="V102" s="13" t="s">
        <v>7</v>
      </c>
      <c r="W102" s="13" t="s">
        <v>8</v>
      </c>
      <c r="X102" t="s">
        <v>9</v>
      </c>
      <c r="AA102" t="s">
        <v>311</v>
      </c>
      <c r="AG102" t="s">
        <v>311</v>
      </c>
      <c r="AM102" t="s">
        <v>325</v>
      </c>
      <c r="AV102" s="20" t="s">
        <v>296</v>
      </c>
      <c r="AW102" s="40">
        <f t="shared" ref="AW102:AW122" si="152">AW78/$AW$98</f>
        <v>0</v>
      </c>
      <c r="AX102" s="40">
        <f t="shared" ref="AX102:AX122" si="153">AX78/$AX$98</f>
        <v>0</v>
      </c>
      <c r="AY102" s="40"/>
      <c r="AZ102" s="40">
        <f t="shared" ref="AZ102:AZ122" si="154">AZ78/$AZ$98</f>
        <v>0</v>
      </c>
      <c r="BA102" s="40">
        <f t="shared" ref="BA102:BA122" si="155">BA78/$BA$98</f>
        <v>0</v>
      </c>
      <c r="BB102" s="40">
        <f t="shared" ref="BB102:BB122" si="156">BB78/$BB$98</f>
        <v>0</v>
      </c>
      <c r="BC102" s="40"/>
      <c r="BD102" s="40">
        <f t="shared" ref="BD102:BD122" si="157">BD78/$BD$98</f>
        <v>0</v>
      </c>
      <c r="BE102" s="40"/>
      <c r="BF102" s="40"/>
      <c r="BG102" s="40">
        <f t="shared" ref="BG102:BG122" si="158">BG78/$BG$98</f>
        <v>0</v>
      </c>
      <c r="BH102" s="40"/>
      <c r="BI102" s="40">
        <f t="shared" ref="BI102:BI122" si="159">BI78/$BI$98</f>
        <v>0</v>
      </c>
      <c r="BJ102" s="40">
        <f t="shared" ref="BJ102:BJ122" si="160">BJ78/$BJ$98</f>
        <v>0</v>
      </c>
      <c r="BK102" s="40"/>
      <c r="BL102" s="50"/>
    </row>
    <row r="103" spans="4:66" ht="15.95">
      <c r="E103" s="5" t="s">
        <v>10</v>
      </c>
      <c r="F103">
        <v>19</v>
      </c>
      <c r="G103">
        <v>2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22</v>
      </c>
      <c r="P103" s="5" t="s">
        <v>10</v>
      </c>
      <c r="Q103" s="15">
        <f t="shared" ref="Q103:Y104" si="161">F103/$N$106</f>
        <v>0.76</v>
      </c>
      <c r="R103" s="15">
        <f t="shared" si="161"/>
        <v>0.08</v>
      </c>
      <c r="S103" s="15">
        <f t="shared" si="161"/>
        <v>0</v>
      </c>
      <c r="T103" s="15">
        <f t="shared" si="161"/>
        <v>0</v>
      </c>
      <c r="U103" s="15">
        <f t="shared" si="161"/>
        <v>0.04</v>
      </c>
      <c r="V103" s="15">
        <f t="shared" si="161"/>
        <v>0</v>
      </c>
      <c r="W103" s="15">
        <f t="shared" si="161"/>
        <v>0</v>
      </c>
      <c r="X103" s="15">
        <f t="shared" si="161"/>
        <v>0</v>
      </c>
      <c r="Y103" s="15">
        <f t="shared" si="161"/>
        <v>0.88</v>
      </c>
      <c r="Z103" s="16">
        <f>SUM(Q103:X103)</f>
        <v>0.88</v>
      </c>
      <c r="AA103" t="s">
        <v>426</v>
      </c>
      <c r="AG103" t="s">
        <v>323</v>
      </c>
      <c r="AM103" t="s">
        <v>311</v>
      </c>
      <c r="AV103" s="20" t="s">
        <v>338</v>
      </c>
      <c r="AW103" s="40">
        <f t="shared" si="152"/>
        <v>7.3170731707317069E-2</v>
      </c>
      <c r="AX103" s="40">
        <f t="shared" si="153"/>
        <v>0</v>
      </c>
      <c r="AY103" s="40"/>
      <c r="AZ103" s="40">
        <f t="shared" si="154"/>
        <v>0</v>
      </c>
      <c r="BA103" s="40">
        <f t="shared" si="155"/>
        <v>0</v>
      </c>
      <c r="BB103" s="40">
        <f t="shared" si="156"/>
        <v>0</v>
      </c>
      <c r="BC103" s="40"/>
      <c r="BD103" s="40">
        <f t="shared" si="157"/>
        <v>0.2</v>
      </c>
      <c r="BE103" s="40"/>
      <c r="BF103" s="40"/>
      <c r="BG103" s="40">
        <f t="shared" si="158"/>
        <v>0</v>
      </c>
      <c r="BH103" s="40"/>
      <c r="BI103" s="40">
        <f t="shared" si="159"/>
        <v>0</v>
      </c>
      <c r="BJ103" s="40">
        <f t="shared" si="160"/>
        <v>0</v>
      </c>
      <c r="BK103" s="40"/>
      <c r="BL103" s="50"/>
    </row>
    <row r="104" spans="4:66" ht="15.95">
      <c r="E104" s="5" t="s">
        <v>11</v>
      </c>
      <c r="F104">
        <v>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P104" s="5" t="s">
        <v>11</v>
      </c>
      <c r="Q104" s="15">
        <f t="shared" si="161"/>
        <v>0.08</v>
      </c>
      <c r="R104" s="15">
        <f t="shared" si="161"/>
        <v>0.04</v>
      </c>
      <c r="S104" s="15">
        <f t="shared" si="161"/>
        <v>0</v>
      </c>
      <c r="T104" s="15">
        <f t="shared" si="161"/>
        <v>0</v>
      </c>
      <c r="U104" s="15">
        <f t="shared" si="161"/>
        <v>0</v>
      </c>
      <c r="V104" s="15">
        <f t="shared" si="161"/>
        <v>0</v>
      </c>
      <c r="W104" s="15">
        <f t="shared" si="161"/>
        <v>0</v>
      </c>
      <c r="X104" s="15">
        <f t="shared" si="161"/>
        <v>0</v>
      </c>
      <c r="Y104" s="15">
        <f t="shared" si="161"/>
        <v>0.12</v>
      </c>
      <c r="Z104" s="16">
        <f>SUM(Q104:X104)</f>
        <v>0.12</v>
      </c>
      <c r="AA104" t="s">
        <v>375</v>
      </c>
      <c r="AM104" t="s">
        <v>493</v>
      </c>
      <c r="AV104" s="20" t="s">
        <v>343</v>
      </c>
      <c r="AW104" s="40">
        <f t="shared" si="152"/>
        <v>2.4390243902439025E-2</v>
      </c>
      <c r="AX104" s="40">
        <f t="shared" si="153"/>
        <v>0</v>
      </c>
      <c r="AY104" s="40"/>
      <c r="AZ104" s="40">
        <f t="shared" si="154"/>
        <v>7.6923076923076927E-2</v>
      </c>
      <c r="BA104" s="40">
        <f t="shared" si="155"/>
        <v>0</v>
      </c>
      <c r="BB104" s="40">
        <f t="shared" si="156"/>
        <v>0</v>
      </c>
      <c r="BC104" s="40"/>
      <c r="BD104" s="40">
        <f t="shared" si="157"/>
        <v>0</v>
      </c>
      <c r="BE104" s="40"/>
      <c r="BF104" s="40"/>
      <c r="BG104" s="40">
        <f t="shared" si="158"/>
        <v>0.14285714285714285</v>
      </c>
      <c r="BH104" s="40"/>
      <c r="BI104" s="40">
        <f t="shared" si="159"/>
        <v>0</v>
      </c>
      <c r="BJ104" s="40">
        <f t="shared" si="160"/>
        <v>0</v>
      </c>
      <c r="BK104" s="40"/>
      <c r="BL104" s="50"/>
    </row>
    <row r="105" spans="4:66" ht="15.95">
      <c r="E105" t="s">
        <v>12</v>
      </c>
      <c r="F105" t="e">
        <v>#DIV/0!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  <c r="L105" t="e">
        <v>#DIV/0!</v>
      </c>
      <c r="M105" t="e">
        <v>#DIV/0!</v>
      </c>
      <c r="P105" t="s">
        <v>12</v>
      </c>
      <c r="Q105" s="15" t="e">
        <f t="shared" ref="Q105" si="162">F105/$N$56</f>
        <v>#DIV/0!</v>
      </c>
      <c r="R105" s="15" t="e">
        <f t="shared" ref="R105" si="163">G105/$N$56</f>
        <v>#DIV/0!</v>
      </c>
      <c r="S105" s="15" t="e">
        <f t="shared" ref="S105" si="164">H105/$N$56</f>
        <v>#DIV/0!</v>
      </c>
      <c r="T105" s="15" t="e">
        <f t="shared" ref="T105" si="165">I105/$N$56</f>
        <v>#DIV/0!</v>
      </c>
      <c r="U105" s="15" t="e">
        <f t="shared" ref="U105" si="166">J105/$N$56</f>
        <v>#DIV/0!</v>
      </c>
      <c r="V105" s="15" t="e">
        <f t="shared" ref="V105" si="167">K105/$N$56</f>
        <v>#DIV/0!</v>
      </c>
      <c r="W105" s="15" t="e">
        <f t="shared" ref="W105" si="168">L105/$N$56</f>
        <v>#DIV/0!</v>
      </c>
      <c r="X105" s="15" t="e">
        <f t="shared" ref="X105" si="169">M105/$N$56</f>
        <v>#DIV/0!</v>
      </c>
      <c r="Y105" s="15"/>
      <c r="Z105" s="16">
        <f>SUM(Z103:Z104)</f>
        <v>1</v>
      </c>
      <c r="AM105" t="s">
        <v>377</v>
      </c>
      <c r="AV105" s="20" t="s">
        <v>295</v>
      </c>
      <c r="AW105" s="40">
        <f t="shared" si="152"/>
        <v>0</v>
      </c>
      <c r="AX105" s="40">
        <f t="shared" si="153"/>
        <v>0</v>
      </c>
      <c r="AY105" s="40"/>
      <c r="AZ105" s="40">
        <f t="shared" si="154"/>
        <v>0</v>
      </c>
      <c r="BA105" s="40">
        <f t="shared" si="155"/>
        <v>0</v>
      </c>
      <c r="BB105" s="40">
        <f t="shared" si="156"/>
        <v>0</v>
      </c>
      <c r="BC105" s="40"/>
      <c r="BD105" s="40">
        <f t="shared" si="157"/>
        <v>0</v>
      </c>
      <c r="BE105" s="40"/>
      <c r="BF105" s="40"/>
      <c r="BG105" s="40">
        <f t="shared" si="158"/>
        <v>0</v>
      </c>
      <c r="BH105" s="40"/>
      <c r="BI105" s="40">
        <f t="shared" si="159"/>
        <v>0</v>
      </c>
      <c r="BJ105" s="40">
        <f t="shared" si="160"/>
        <v>0</v>
      </c>
      <c r="BK105" s="40"/>
      <c r="BL105" s="50"/>
    </row>
    <row r="106" spans="4:66">
      <c r="N106">
        <f>SUM(N103:N104)</f>
        <v>25</v>
      </c>
      <c r="Y106" s="16">
        <f t="shared" si="77"/>
        <v>1</v>
      </c>
      <c r="AM106" t="s">
        <v>311</v>
      </c>
      <c r="AV106" s="21" t="s">
        <v>317</v>
      </c>
      <c r="AW106" s="40">
        <f t="shared" si="152"/>
        <v>4.878048780487805E-2</v>
      </c>
      <c r="AX106" s="40">
        <f t="shared" si="153"/>
        <v>0.2</v>
      </c>
      <c r="AY106" s="40"/>
      <c r="AZ106" s="40">
        <f t="shared" si="154"/>
        <v>0.15384615384615385</v>
      </c>
      <c r="BA106" s="40">
        <f t="shared" si="155"/>
        <v>0</v>
      </c>
      <c r="BB106" s="40">
        <f t="shared" si="156"/>
        <v>0</v>
      </c>
      <c r="BC106" s="40"/>
      <c r="BD106" s="40">
        <f t="shared" si="157"/>
        <v>0</v>
      </c>
      <c r="BE106" s="40"/>
      <c r="BF106" s="40"/>
      <c r="BG106" s="40">
        <f t="shared" si="158"/>
        <v>0</v>
      </c>
      <c r="BH106" s="40"/>
      <c r="BI106" s="40">
        <f t="shared" si="159"/>
        <v>0</v>
      </c>
      <c r="BJ106" s="40">
        <f t="shared" si="160"/>
        <v>0</v>
      </c>
      <c r="BK106" s="40"/>
      <c r="BL106" s="50"/>
    </row>
    <row r="107" spans="4:66" ht="15.95">
      <c r="D107" t="s">
        <v>26</v>
      </c>
      <c r="E107" s="5" t="s">
        <v>36</v>
      </c>
      <c r="F107" t="s">
        <v>25</v>
      </c>
      <c r="G107" t="s">
        <v>3</v>
      </c>
      <c r="H107" t="s">
        <v>4</v>
      </c>
      <c r="I107" t="s">
        <v>5</v>
      </c>
      <c r="J107" t="s">
        <v>6</v>
      </c>
      <c r="K107" t="s">
        <v>7</v>
      </c>
      <c r="L107" t="s">
        <v>8</v>
      </c>
      <c r="M107" t="s">
        <v>9</v>
      </c>
      <c r="O107" t="s">
        <v>341</v>
      </c>
      <c r="P107" s="5" t="s">
        <v>36</v>
      </c>
      <c r="Q107" t="s">
        <v>25</v>
      </c>
      <c r="R107" s="13" t="s">
        <v>14</v>
      </c>
      <c r="S107" t="s">
        <v>4</v>
      </c>
      <c r="T107" s="13" t="s">
        <v>5</v>
      </c>
      <c r="U107" s="13" t="s">
        <v>6</v>
      </c>
      <c r="V107" s="13" t="s">
        <v>7</v>
      </c>
      <c r="W107" s="13" t="s">
        <v>8</v>
      </c>
      <c r="X107" t="s">
        <v>9</v>
      </c>
      <c r="AV107" s="20" t="s">
        <v>320</v>
      </c>
      <c r="AW107" s="40">
        <f t="shared" si="152"/>
        <v>0</v>
      </c>
      <c r="AX107" s="40">
        <f t="shared" si="153"/>
        <v>0</v>
      </c>
      <c r="AY107" s="40"/>
      <c r="AZ107" s="40">
        <f t="shared" si="154"/>
        <v>0</v>
      </c>
      <c r="BA107" s="40">
        <f t="shared" si="155"/>
        <v>0</v>
      </c>
      <c r="BB107" s="40">
        <f t="shared" si="156"/>
        <v>0</v>
      </c>
      <c r="BC107" s="40"/>
      <c r="BD107" s="40">
        <f t="shared" si="157"/>
        <v>0.2</v>
      </c>
      <c r="BE107" s="40"/>
      <c r="BF107" s="40"/>
      <c r="BG107" s="40">
        <f t="shared" si="158"/>
        <v>0</v>
      </c>
      <c r="BH107" s="40"/>
      <c r="BI107" s="40">
        <f t="shared" si="159"/>
        <v>0</v>
      </c>
      <c r="BJ107" s="40">
        <f t="shared" si="160"/>
        <v>0</v>
      </c>
      <c r="BK107" s="40"/>
      <c r="BL107" s="50"/>
    </row>
    <row r="108" spans="4:66" ht="15.95">
      <c r="E108" s="5" t="s">
        <v>10</v>
      </c>
      <c r="F108">
        <v>20</v>
      </c>
      <c r="G108">
        <v>4</v>
      </c>
      <c r="H108">
        <v>0</v>
      </c>
      <c r="I108">
        <v>0</v>
      </c>
      <c r="J108">
        <v>0</v>
      </c>
      <c r="K108">
        <v>2</v>
      </c>
      <c r="L108">
        <v>1</v>
      </c>
      <c r="M108">
        <v>0</v>
      </c>
      <c r="N108">
        <v>27</v>
      </c>
      <c r="P108" s="5" t="s">
        <v>10</v>
      </c>
      <c r="Q108" s="15">
        <f t="shared" ref="Q108:Y109" si="170">F108/$N$111</f>
        <v>0.68965517241379315</v>
      </c>
      <c r="R108" s="15">
        <f t="shared" si="170"/>
        <v>0.13793103448275862</v>
      </c>
      <c r="S108" s="15">
        <f t="shared" si="170"/>
        <v>0</v>
      </c>
      <c r="T108" s="15">
        <f t="shared" si="170"/>
        <v>0</v>
      </c>
      <c r="U108" s="15">
        <f t="shared" si="170"/>
        <v>0</v>
      </c>
      <c r="V108" s="15">
        <f t="shared" si="170"/>
        <v>6.8965517241379309E-2</v>
      </c>
      <c r="W108" s="15">
        <f t="shared" si="170"/>
        <v>3.4482758620689655E-2</v>
      </c>
      <c r="X108" s="15">
        <f t="shared" si="170"/>
        <v>0</v>
      </c>
      <c r="Y108" s="15">
        <f t="shared" si="170"/>
        <v>0.93103448275862066</v>
      </c>
      <c r="Z108" s="16">
        <f>SUM(Q108:X108)</f>
        <v>0.93103448275862077</v>
      </c>
      <c r="AV108" s="20" t="s">
        <v>314</v>
      </c>
      <c r="AW108" s="40">
        <f t="shared" si="152"/>
        <v>4.878048780487805E-2</v>
      </c>
      <c r="AX108" s="40">
        <f t="shared" si="153"/>
        <v>0.1</v>
      </c>
      <c r="AY108" s="40"/>
      <c r="AZ108" s="40">
        <f t="shared" si="154"/>
        <v>0</v>
      </c>
      <c r="BA108" s="40">
        <f t="shared" si="155"/>
        <v>0</v>
      </c>
      <c r="BB108" s="40">
        <f t="shared" si="156"/>
        <v>0</v>
      </c>
      <c r="BC108" s="40"/>
      <c r="BD108" s="40">
        <f t="shared" si="157"/>
        <v>0</v>
      </c>
      <c r="BE108" s="40"/>
      <c r="BF108" s="40"/>
      <c r="BG108" s="40">
        <f t="shared" si="158"/>
        <v>0</v>
      </c>
      <c r="BH108" s="40"/>
      <c r="BI108" s="40">
        <f t="shared" si="159"/>
        <v>0</v>
      </c>
      <c r="BJ108" s="40">
        <f t="shared" si="160"/>
        <v>0</v>
      </c>
      <c r="BK108" s="40"/>
      <c r="BL108" s="50"/>
    </row>
    <row r="109" spans="4:66" ht="15.95">
      <c r="E109" s="5" t="s">
        <v>11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P109" s="5" t="s">
        <v>11</v>
      </c>
      <c r="Q109" s="15">
        <f t="shared" si="170"/>
        <v>6.8965517241379309E-2</v>
      </c>
      <c r="R109" s="15">
        <f t="shared" si="170"/>
        <v>0</v>
      </c>
      <c r="S109" s="15">
        <f t="shared" si="170"/>
        <v>0</v>
      </c>
      <c r="T109" s="15">
        <f t="shared" si="170"/>
        <v>0</v>
      </c>
      <c r="U109" s="15">
        <f t="shared" si="170"/>
        <v>0</v>
      </c>
      <c r="V109" s="15">
        <f t="shared" si="170"/>
        <v>0</v>
      </c>
      <c r="W109" s="15">
        <f t="shared" si="170"/>
        <v>0</v>
      </c>
      <c r="X109" s="15">
        <f t="shared" si="170"/>
        <v>0</v>
      </c>
      <c r="Y109" s="15">
        <f t="shared" si="170"/>
        <v>6.8965517241379309E-2</v>
      </c>
      <c r="Z109" s="16">
        <f>SUM(Q109:X109)</f>
        <v>6.8965517241379309E-2</v>
      </c>
      <c r="AV109" s="20" t="s">
        <v>283</v>
      </c>
      <c r="AW109" s="40">
        <f t="shared" si="152"/>
        <v>7.3170731707317069E-2</v>
      </c>
      <c r="AX109" s="40">
        <f t="shared" si="153"/>
        <v>0.1</v>
      </c>
      <c r="AY109" s="40"/>
      <c r="AZ109" s="40">
        <f t="shared" si="154"/>
        <v>0</v>
      </c>
      <c r="BA109" s="40">
        <f t="shared" si="155"/>
        <v>0</v>
      </c>
      <c r="BB109" s="40">
        <f t="shared" si="156"/>
        <v>0</v>
      </c>
      <c r="BC109" s="40"/>
      <c r="BD109" s="40">
        <f t="shared" si="157"/>
        <v>0</v>
      </c>
      <c r="BE109" s="40"/>
      <c r="BF109" s="40"/>
      <c r="BG109" s="40">
        <f t="shared" si="158"/>
        <v>0.14285714285714285</v>
      </c>
      <c r="BH109" s="40"/>
      <c r="BI109" s="40">
        <f t="shared" si="159"/>
        <v>0</v>
      </c>
      <c r="BJ109" s="40">
        <f t="shared" si="160"/>
        <v>0</v>
      </c>
      <c r="BK109" s="40"/>
      <c r="BL109" s="50"/>
    </row>
    <row r="110" spans="4:66" ht="15.95">
      <c r="E110" t="s">
        <v>12</v>
      </c>
      <c r="F110" t="e">
        <v>#DIV/0!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  <c r="L110" t="e">
        <v>#DIV/0!</v>
      </c>
      <c r="M110" t="e">
        <v>#DIV/0!</v>
      </c>
      <c r="P110" t="s">
        <v>12</v>
      </c>
      <c r="Q110" s="15" t="e">
        <f t="shared" ref="Q110" si="171">F110/$N$56</f>
        <v>#DIV/0!</v>
      </c>
      <c r="R110" s="15" t="e">
        <f t="shared" ref="R110" si="172">G110/$N$56</f>
        <v>#DIV/0!</v>
      </c>
      <c r="S110" s="15" t="e">
        <f t="shared" ref="S110" si="173">H110/$N$56</f>
        <v>#DIV/0!</v>
      </c>
      <c r="T110" s="15" t="e">
        <f t="shared" ref="T110" si="174">I110/$N$56</f>
        <v>#DIV/0!</v>
      </c>
      <c r="U110" s="15" t="e">
        <f t="shared" ref="U110" si="175">J110/$N$56</f>
        <v>#DIV/0!</v>
      </c>
      <c r="V110" s="15" t="e">
        <f t="shared" ref="V110" si="176">K110/$N$56</f>
        <v>#DIV/0!</v>
      </c>
      <c r="W110" s="15" t="e">
        <f t="shared" ref="W110" si="177">L110/$N$56</f>
        <v>#DIV/0!</v>
      </c>
      <c r="X110" s="15" t="e">
        <f t="shared" ref="X110" si="178">M110/$N$56</f>
        <v>#DIV/0!</v>
      </c>
      <c r="Y110" s="15"/>
      <c r="Z110" s="16">
        <f>SUM(Z108:Z109)</f>
        <v>1</v>
      </c>
      <c r="AV110" s="20" t="s">
        <v>328</v>
      </c>
      <c r="AW110" s="40">
        <f t="shared" si="152"/>
        <v>0</v>
      </c>
      <c r="AX110" s="40">
        <f t="shared" si="153"/>
        <v>0</v>
      </c>
      <c r="AY110" s="40"/>
      <c r="AZ110" s="40">
        <f t="shared" si="154"/>
        <v>0</v>
      </c>
      <c r="BA110" s="40">
        <f t="shared" si="155"/>
        <v>0</v>
      </c>
      <c r="BB110" s="40">
        <f t="shared" si="156"/>
        <v>9.0909090909090912E-2</v>
      </c>
      <c r="BC110" s="40"/>
      <c r="BD110" s="40">
        <f t="shared" si="157"/>
        <v>0</v>
      </c>
      <c r="BE110" s="40"/>
      <c r="BF110" s="40"/>
      <c r="BG110" s="40">
        <f t="shared" si="158"/>
        <v>0</v>
      </c>
      <c r="BH110" s="40"/>
      <c r="BI110" s="40">
        <f t="shared" si="159"/>
        <v>0</v>
      </c>
      <c r="BJ110" s="40">
        <f t="shared" si="160"/>
        <v>0</v>
      </c>
      <c r="BK110" s="40"/>
      <c r="BL110" s="50"/>
    </row>
    <row r="111" spans="4:66">
      <c r="N111">
        <f>SUM(N108:N109)</f>
        <v>29</v>
      </c>
      <c r="Y111" s="16">
        <f t="shared" ref="Y111:Y166" si="179">SUM(Y108,Y109,Y110)</f>
        <v>1</v>
      </c>
      <c r="AV111" s="20" t="s">
        <v>371</v>
      </c>
      <c r="AW111" s="40">
        <f t="shared" si="152"/>
        <v>0</v>
      </c>
      <c r="AX111" s="40">
        <f t="shared" si="153"/>
        <v>0</v>
      </c>
      <c r="AY111" s="40"/>
      <c r="AZ111" s="40">
        <f t="shared" si="154"/>
        <v>0</v>
      </c>
      <c r="BA111" s="40">
        <f t="shared" si="155"/>
        <v>0</v>
      </c>
      <c r="BB111" s="40">
        <f t="shared" si="156"/>
        <v>0</v>
      </c>
      <c r="BC111" s="40"/>
      <c r="BD111" s="40">
        <f t="shared" si="157"/>
        <v>0</v>
      </c>
      <c r="BE111" s="40"/>
      <c r="BF111" s="40"/>
      <c r="BG111" s="40">
        <f t="shared" si="158"/>
        <v>0</v>
      </c>
      <c r="BH111" s="40"/>
      <c r="BI111" s="40">
        <f t="shared" si="159"/>
        <v>0</v>
      </c>
      <c r="BJ111" s="40">
        <f t="shared" si="160"/>
        <v>0</v>
      </c>
      <c r="BK111" s="40"/>
      <c r="BL111" s="50"/>
    </row>
    <row r="112" spans="4:66" ht="15.95">
      <c r="D112" t="s">
        <v>26</v>
      </c>
      <c r="E112" s="5" t="s">
        <v>37</v>
      </c>
      <c r="F112" t="s">
        <v>25</v>
      </c>
      <c r="G112" t="s">
        <v>3</v>
      </c>
      <c r="H112" t="s">
        <v>4</v>
      </c>
      <c r="I112" t="s">
        <v>5</v>
      </c>
      <c r="J112" t="s">
        <v>6</v>
      </c>
      <c r="K112" t="s">
        <v>7</v>
      </c>
      <c r="L112" t="s">
        <v>8</v>
      </c>
      <c r="M112" t="s">
        <v>9</v>
      </c>
      <c r="O112" t="s">
        <v>341</v>
      </c>
      <c r="P112" s="5" t="s">
        <v>37</v>
      </c>
      <c r="Q112" t="s">
        <v>25</v>
      </c>
      <c r="R112" s="13" t="s">
        <v>14</v>
      </c>
      <c r="S112" t="s">
        <v>4</v>
      </c>
      <c r="T112" s="13" t="s">
        <v>5</v>
      </c>
      <c r="U112" s="13" t="s">
        <v>6</v>
      </c>
      <c r="V112" s="13" t="s">
        <v>7</v>
      </c>
      <c r="W112" s="13" t="s">
        <v>8</v>
      </c>
      <c r="X112" t="s">
        <v>9</v>
      </c>
      <c r="AV112" s="20" t="s">
        <v>372</v>
      </c>
      <c r="AW112" s="40">
        <f t="shared" si="152"/>
        <v>0</v>
      </c>
      <c r="AX112" s="40">
        <f t="shared" si="153"/>
        <v>0</v>
      </c>
      <c r="AY112" s="40"/>
      <c r="AZ112" s="40">
        <f t="shared" si="154"/>
        <v>0</v>
      </c>
      <c r="BA112" s="40">
        <f t="shared" si="155"/>
        <v>0</v>
      </c>
      <c r="BB112" s="40">
        <f t="shared" si="156"/>
        <v>9.0909090909090912E-2</v>
      </c>
      <c r="BC112" s="40"/>
      <c r="BD112" s="40">
        <f t="shared" si="157"/>
        <v>0</v>
      </c>
      <c r="BE112" s="40"/>
      <c r="BF112" s="40"/>
      <c r="BG112" s="40">
        <f t="shared" si="158"/>
        <v>0</v>
      </c>
      <c r="BH112" s="40"/>
      <c r="BI112" s="40">
        <f t="shared" si="159"/>
        <v>0</v>
      </c>
      <c r="BJ112" s="40">
        <f t="shared" si="160"/>
        <v>0</v>
      </c>
      <c r="BK112" s="40"/>
      <c r="BL112" s="50"/>
    </row>
    <row r="113" spans="4:64" ht="15.95">
      <c r="E113" s="5" t="s">
        <v>10</v>
      </c>
      <c r="F113">
        <v>27</v>
      </c>
      <c r="G113">
        <v>2</v>
      </c>
      <c r="H113">
        <v>4</v>
      </c>
      <c r="I113">
        <v>0</v>
      </c>
      <c r="J113">
        <v>3</v>
      </c>
      <c r="K113">
        <v>1</v>
      </c>
      <c r="L113">
        <v>0</v>
      </c>
      <c r="M113">
        <v>0</v>
      </c>
      <c r="N113">
        <v>37</v>
      </c>
      <c r="P113" s="5" t="s">
        <v>10</v>
      </c>
      <c r="Q113" s="15">
        <f t="shared" ref="Q113:Y114" si="180">F113/$N$116</f>
        <v>0.71052631578947367</v>
      </c>
      <c r="R113" s="15">
        <f t="shared" si="180"/>
        <v>5.2631578947368418E-2</v>
      </c>
      <c r="S113" s="15">
        <f t="shared" si="180"/>
        <v>0.10526315789473684</v>
      </c>
      <c r="T113" s="15">
        <f t="shared" si="180"/>
        <v>0</v>
      </c>
      <c r="U113" s="15">
        <f t="shared" si="180"/>
        <v>7.8947368421052627E-2</v>
      </c>
      <c r="V113" s="15">
        <f t="shared" si="180"/>
        <v>2.6315789473684209E-2</v>
      </c>
      <c r="W113" s="15">
        <f t="shared" si="180"/>
        <v>0</v>
      </c>
      <c r="X113" s="15">
        <f t="shared" si="180"/>
        <v>0</v>
      </c>
      <c r="Y113" s="15">
        <f t="shared" si="180"/>
        <v>0.97368421052631582</v>
      </c>
      <c r="Z113" s="16">
        <f>SUM(Q113:X113)</f>
        <v>0.97368421052631571</v>
      </c>
      <c r="AV113" s="20" t="s">
        <v>373</v>
      </c>
      <c r="AW113" s="40">
        <f t="shared" si="152"/>
        <v>2.4390243902439025E-2</v>
      </c>
      <c r="AX113" s="40">
        <f t="shared" si="153"/>
        <v>0</v>
      </c>
      <c r="AY113" s="40"/>
      <c r="AZ113" s="40">
        <f t="shared" si="154"/>
        <v>7.6923076923076927E-2</v>
      </c>
      <c r="BA113" s="40">
        <f t="shared" si="155"/>
        <v>0</v>
      </c>
      <c r="BB113" s="40">
        <f t="shared" si="156"/>
        <v>0.18181818181818182</v>
      </c>
      <c r="BC113" s="40"/>
      <c r="BD113" s="40">
        <f t="shared" si="157"/>
        <v>0</v>
      </c>
      <c r="BE113" s="40"/>
      <c r="BF113" s="40"/>
      <c r="BG113" s="40">
        <f t="shared" si="158"/>
        <v>0</v>
      </c>
      <c r="BH113" s="40"/>
      <c r="BI113" s="40">
        <f t="shared" si="159"/>
        <v>0</v>
      </c>
      <c r="BJ113" s="40">
        <f t="shared" si="160"/>
        <v>0</v>
      </c>
      <c r="BK113" s="40"/>
      <c r="BL113" s="50"/>
    </row>
    <row r="114" spans="4:64" ht="15.95">
      <c r="E114" s="5" t="s">
        <v>11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P114" s="5" t="s">
        <v>11</v>
      </c>
      <c r="Q114" s="15">
        <f t="shared" si="180"/>
        <v>0</v>
      </c>
      <c r="R114" s="15">
        <f t="shared" si="180"/>
        <v>2.6315789473684209E-2</v>
      </c>
      <c r="S114" s="15">
        <f t="shared" si="180"/>
        <v>0</v>
      </c>
      <c r="T114" s="15">
        <f t="shared" si="180"/>
        <v>0</v>
      </c>
      <c r="U114" s="15">
        <f t="shared" si="180"/>
        <v>0</v>
      </c>
      <c r="V114" s="15">
        <f t="shared" si="180"/>
        <v>0</v>
      </c>
      <c r="W114" s="15">
        <f t="shared" si="180"/>
        <v>0</v>
      </c>
      <c r="X114" s="15">
        <f t="shared" si="180"/>
        <v>0</v>
      </c>
      <c r="Y114" s="15">
        <f t="shared" si="180"/>
        <v>2.6315789473684209E-2</v>
      </c>
      <c r="Z114" s="16">
        <f>SUM(Q114:X114)</f>
        <v>2.6315789473684209E-2</v>
      </c>
      <c r="AV114" s="20" t="s">
        <v>312</v>
      </c>
      <c r="AW114" s="40">
        <f t="shared" si="152"/>
        <v>2.4390243902439025E-2</v>
      </c>
      <c r="AX114" s="40">
        <f t="shared" si="153"/>
        <v>0</v>
      </c>
      <c r="AY114" s="40"/>
      <c r="AZ114" s="40">
        <f t="shared" si="154"/>
        <v>7.6923076923076927E-2</v>
      </c>
      <c r="BA114" s="40">
        <f t="shared" si="155"/>
        <v>0</v>
      </c>
      <c r="BB114" s="40">
        <f t="shared" si="156"/>
        <v>9.0909090909090912E-2</v>
      </c>
      <c r="BC114" s="40"/>
      <c r="BD114" s="40">
        <f t="shared" si="157"/>
        <v>0</v>
      </c>
      <c r="BE114" s="40"/>
      <c r="BF114" s="40"/>
      <c r="BG114" s="40">
        <f t="shared" si="158"/>
        <v>0.14285714285714285</v>
      </c>
      <c r="BH114" s="40"/>
      <c r="BI114" s="40">
        <f t="shared" si="159"/>
        <v>1</v>
      </c>
      <c r="BJ114" s="40">
        <f t="shared" si="160"/>
        <v>0</v>
      </c>
      <c r="BK114" s="40"/>
      <c r="BL114" s="50"/>
    </row>
    <row r="115" spans="4:64" ht="15.95">
      <c r="E115" t="s">
        <v>12</v>
      </c>
      <c r="F115" t="e">
        <v>#DIV/0!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  <c r="L115" t="e">
        <v>#DIV/0!</v>
      </c>
      <c r="M115" t="e">
        <v>#DIV/0!</v>
      </c>
      <c r="P115" t="s">
        <v>12</v>
      </c>
      <c r="Q115" s="15" t="e">
        <f t="shared" ref="Q115" si="181">F115/$N$56</f>
        <v>#DIV/0!</v>
      </c>
      <c r="R115" s="15" t="e">
        <f t="shared" ref="R115" si="182">G115/$N$56</f>
        <v>#DIV/0!</v>
      </c>
      <c r="S115" s="15" t="e">
        <f t="shared" ref="S115" si="183">H115/$N$56</f>
        <v>#DIV/0!</v>
      </c>
      <c r="T115" s="15" t="e">
        <f t="shared" ref="T115" si="184">I115/$N$56</f>
        <v>#DIV/0!</v>
      </c>
      <c r="U115" s="15" t="e">
        <f t="shared" ref="U115" si="185">J115/$N$56</f>
        <v>#DIV/0!</v>
      </c>
      <c r="V115" s="15" t="e">
        <f t="shared" ref="V115" si="186">K115/$N$56</f>
        <v>#DIV/0!</v>
      </c>
      <c r="W115" s="15" t="e">
        <f t="shared" ref="W115" si="187">L115/$N$56</f>
        <v>#DIV/0!</v>
      </c>
      <c r="X115" s="15" t="e">
        <f t="shared" ref="X115" si="188">M115/$N$56</f>
        <v>#DIV/0!</v>
      </c>
      <c r="Y115" s="15"/>
      <c r="Z115" s="16">
        <f>SUM(Z113:Z114)</f>
        <v>0.99999999999999989</v>
      </c>
      <c r="AV115" s="20" t="s">
        <v>382</v>
      </c>
      <c r="AW115" s="40">
        <f t="shared" si="152"/>
        <v>4.878048780487805E-2</v>
      </c>
      <c r="AX115" s="40">
        <f t="shared" si="153"/>
        <v>0</v>
      </c>
      <c r="AY115" s="40"/>
      <c r="AZ115" s="40">
        <f t="shared" si="154"/>
        <v>0</v>
      </c>
      <c r="BA115" s="40">
        <f t="shared" si="155"/>
        <v>0</v>
      </c>
      <c r="BB115" s="40">
        <f t="shared" si="156"/>
        <v>9.0909090909090912E-2</v>
      </c>
      <c r="BC115" s="40"/>
      <c r="BD115" s="40">
        <f t="shared" si="157"/>
        <v>0.2</v>
      </c>
      <c r="BE115" s="40"/>
      <c r="BF115" s="40"/>
      <c r="BG115" s="40">
        <f t="shared" si="158"/>
        <v>0</v>
      </c>
      <c r="BH115" s="40"/>
      <c r="BI115" s="40">
        <f t="shared" si="159"/>
        <v>0</v>
      </c>
      <c r="BJ115" s="40">
        <f t="shared" si="160"/>
        <v>0</v>
      </c>
      <c r="BK115" s="40"/>
      <c r="BL115" s="50"/>
    </row>
    <row r="116" spans="4:64">
      <c r="N116">
        <f>SUM(N113:N114)</f>
        <v>38</v>
      </c>
      <c r="Y116" s="16">
        <f t="shared" ref="Y116:Y176" si="189">SUM(Y113,Y114,Y115)</f>
        <v>1</v>
      </c>
      <c r="AA116">
        <v>2</v>
      </c>
      <c r="AB116" t="s">
        <v>494</v>
      </c>
      <c r="AG116">
        <v>6</v>
      </c>
      <c r="AH116" t="s">
        <v>495</v>
      </c>
      <c r="AM116">
        <v>4</v>
      </c>
      <c r="AN116" t="s">
        <v>496</v>
      </c>
      <c r="AV116" s="20" t="s">
        <v>381</v>
      </c>
      <c r="AW116" s="40">
        <f t="shared" si="152"/>
        <v>0</v>
      </c>
      <c r="AX116" s="40">
        <f t="shared" si="153"/>
        <v>0.1</v>
      </c>
      <c r="AY116" s="40"/>
      <c r="AZ116" s="40">
        <f t="shared" si="154"/>
        <v>0</v>
      </c>
      <c r="BA116" s="40">
        <f t="shared" si="155"/>
        <v>0</v>
      </c>
      <c r="BB116" s="40">
        <f t="shared" si="156"/>
        <v>0</v>
      </c>
      <c r="BC116" s="40"/>
      <c r="BD116" s="40">
        <f t="shared" si="157"/>
        <v>0</v>
      </c>
      <c r="BE116" s="40"/>
      <c r="BF116" s="40"/>
      <c r="BG116" s="40">
        <f t="shared" si="158"/>
        <v>0</v>
      </c>
      <c r="BH116" s="40"/>
      <c r="BI116" s="40">
        <f t="shared" si="159"/>
        <v>0</v>
      </c>
      <c r="BJ116" s="40">
        <f t="shared" si="160"/>
        <v>0</v>
      </c>
      <c r="BK116" s="40"/>
      <c r="BL116" s="50"/>
    </row>
    <row r="117" spans="4:64" ht="15.95">
      <c r="D117" t="s">
        <v>26</v>
      </c>
      <c r="E117" s="5" t="s">
        <v>38</v>
      </c>
      <c r="F117" t="s">
        <v>25</v>
      </c>
      <c r="G117" t="s">
        <v>3</v>
      </c>
      <c r="H117" t="s">
        <v>4</v>
      </c>
      <c r="I117" t="s">
        <v>5</v>
      </c>
      <c r="J117" t="s">
        <v>6</v>
      </c>
      <c r="K117" t="s">
        <v>7</v>
      </c>
      <c r="L117" t="s">
        <v>8</v>
      </c>
      <c r="O117" t="s">
        <v>341</v>
      </c>
      <c r="P117" s="5" t="s">
        <v>38</v>
      </c>
      <c r="Q117" t="s">
        <v>25</v>
      </c>
      <c r="R117" s="13" t="s">
        <v>14</v>
      </c>
      <c r="S117" t="s">
        <v>4</v>
      </c>
      <c r="T117" s="13" t="s">
        <v>5</v>
      </c>
      <c r="U117" s="13" t="s">
        <v>6</v>
      </c>
      <c r="V117" s="13" t="s">
        <v>7</v>
      </c>
      <c r="W117" s="13" t="s">
        <v>8</v>
      </c>
      <c r="X117" t="s">
        <v>9</v>
      </c>
      <c r="AA117" t="s">
        <v>444</v>
      </c>
      <c r="AG117" t="s">
        <v>344</v>
      </c>
      <c r="AH117" t="s">
        <v>286</v>
      </c>
      <c r="AI117">
        <f>Q113/2</f>
        <v>0.35526315789473684</v>
      </c>
      <c r="AM117" t="s">
        <v>351</v>
      </c>
      <c r="AN117" t="s">
        <v>320</v>
      </c>
      <c r="AV117" s="20" t="s">
        <v>389</v>
      </c>
      <c r="AW117" s="40">
        <f t="shared" si="152"/>
        <v>0</v>
      </c>
      <c r="AX117" s="40">
        <f t="shared" si="153"/>
        <v>0</v>
      </c>
      <c r="AY117" s="40"/>
      <c r="AZ117" s="40">
        <f t="shared" si="154"/>
        <v>7.6923076923076927E-2</v>
      </c>
      <c r="BA117" s="40">
        <f t="shared" si="155"/>
        <v>0</v>
      </c>
      <c r="BB117" s="40">
        <f t="shared" si="156"/>
        <v>0.18181818181818182</v>
      </c>
      <c r="BC117" s="40"/>
      <c r="BD117" s="40">
        <f t="shared" si="157"/>
        <v>0</v>
      </c>
      <c r="BE117" s="40"/>
      <c r="BF117" s="40"/>
      <c r="BG117" s="40">
        <f t="shared" si="158"/>
        <v>0</v>
      </c>
      <c r="BH117" s="40"/>
      <c r="BI117" s="40">
        <f t="shared" si="159"/>
        <v>0</v>
      </c>
      <c r="BJ117" s="40">
        <f t="shared" si="160"/>
        <v>0</v>
      </c>
      <c r="BK117" s="40"/>
      <c r="BL117" s="50"/>
    </row>
    <row r="118" spans="4:64" ht="15.95">
      <c r="E118" s="5" t="s">
        <v>10</v>
      </c>
      <c r="F118">
        <v>20</v>
      </c>
      <c r="G118">
        <v>2</v>
      </c>
      <c r="H118">
        <v>0</v>
      </c>
      <c r="I118">
        <v>3</v>
      </c>
      <c r="J118">
        <v>0</v>
      </c>
      <c r="K118">
        <v>1</v>
      </c>
      <c r="L118">
        <v>0</v>
      </c>
      <c r="M118">
        <f>SUM(F118:L118)</f>
        <v>26</v>
      </c>
      <c r="N118">
        <v>129</v>
      </c>
      <c r="O118">
        <v>103</v>
      </c>
      <c r="P118" s="5" t="s">
        <v>10</v>
      </c>
      <c r="Q118" s="15">
        <f>F118/$M$120</f>
        <v>0.7142857142857143</v>
      </c>
      <c r="R118" s="15">
        <f t="shared" ref="R118:W119" si="190">G118/$M$120</f>
        <v>7.1428571428571425E-2</v>
      </c>
      <c r="S118" s="15">
        <f t="shared" si="190"/>
        <v>0</v>
      </c>
      <c r="T118" s="15">
        <f t="shared" si="190"/>
        <v>0.10714285714285714</v>
      </c>
      <c r="U118" s="15">
        <f t="shared" si="190"/>
        <v>0</v>
      </c>
      <c r="V118" s="15">
        <f t="shared" si="190"/>
        <v>3.5714285714285712E-2</v>
      </c>
      <c r="W118" s="15">
        <f t="shared" si="190"/>
        <v>0</v>
      </c>
      <c r="X118" s="15">
        <f>M118/M120</f>
        <v>0.9285714285714286</v>
      </c>
      <c r="Y118" s="16">
        <f>SUM(Q118:W118)</f>
        <v>0.92857142857142849</v>
      </c>
      <c r="Z118" s="16"/>
      <c r="AA118" t="s">
        <v>497</v>
      </c>
      <c r="AG118" t="s">
        <v>344</v>
      </c>
      <c r="AH118" s="37" t="s">
        <v>394</v>
      </c>
      <c r="AI118">
        <f>AI117</f>
        <v>0.35526315789473684</v>
      </c>
      <c r="AM118" t="s">
        <v>344</v>
      </c>
      <c r="AN118" t="s">
        <v>409</v>
      </c>
      <c r="AV118" s="20" t="s">
        <v>392</v>
      </c>
      <c r="AW118" s="40">
        <f t="shared" si="152"/>
        <v>0.17073170731707318</v>
      </c>
      <c r="AX118" s="40">
        <f t="shared" si="153"/>
        <v>0.1</v>
      </c>
      <c r="AY118" s="40"/>
      <c r="AZ118" s="40">
        <f t="shared" si="154"/>
        <v>0.15384615384615385</v>
      </c>
      <c r="BA118" s="40">
        <f t="shared" si="155"/>
        <v>1</v>
      </c>
      <c r="BB118" s="40">
        <f t="shared" si="156"/>
        <v>9.0909090909090912E-2</v>
      </c>
      <c r="BC118" s="40"/>
      <c r="BD118" s="40">
        <f t="shared" si="157"/>
        <v>0.2</v>
      </c>
      <c r="BE118" s="40"/>
      <c r="BF118" s="40"/>
      <c r="BG118" s="40">
        <f t="shared" si="158"/>
        <v>0.14285714285714285</v>
      </c>
      <c r="BH118" s="40"/>
      <c r="BI118" s="40">
        <f t="shared" si="159"/>
        <v>0</v>
      </c>
      <c r="BJ118" s="40">
        <f t="shared" si="160"/>
        <v>0</v>
      </c>
      <c r="BK118" s="40"/>
      <c r="BL118" s="50"/>
    </row>
    <row r="119" spans="4:64" ht="15.95">
      <c r="E119" s="5" t="s">
        <v>11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f t="shared" ref="M119" si="191">SUM(F119:L119)</f>
        <v>2</v>
      </c>
      <c r="N119">
        <v>44</v>
      </c>
      <c r="O119">
        <v>42</v>
      </c>
      <c r="P119" s="5" t="s">
        <v>11</v>
      </c>
      <c r="Q119" s="15">
        <f>F119/$M$120</f>
        <v>7.1428571428571425E-2</v>
      </c>
      <c r="R119" s="15">
        <f t="shared" si="190"/>
        <v>0</v>
      </c>
      <c r="S119" s="15">
        <f t="shared" si="190"/>
        <v>0</v>
      </c>
      <c r="T119" s="15">
        <f t="shared" si="190"/>
        <v>0</v>
      </c>
      <c r="U119" s="15">
        <f t="shared" si="190"/>
        <v>0</v>
      </c>
      <c r="V119" s="15">
        <f t="shared" si="190"/>
        <v>0</v>
      </c>
      <c r="W119" s="15">
        <f t="shared" si="190"/>
        <v>0</v>
      </c>
      <c r="X119" s="15">
        <f>M119/$M$120</f>
        <v>7.1428571428571425E-2</v>
      </c>
      <c r="Y119" s="16">
        <f>SUM(Q119:W119)</f>
        <v>7.1428571428571425E-2</v>
      </c>
      <c r="Z119" s="16"/>
      <c r="AG119" t="s">
        <v>333</v>
      </c>
      <c r="AH119" t="s">
        <v>334</v>
      </c>
      <c r="AI119" s="16">
        <f>S113</f>
        <v>0.10526315789473684</v>
      </c>
      <c r="AM119" t="s">
        <v>313</v>
      </c>
      <c r="AN119" t="s">
        <v>286</v>
      </c>
      <c r="AV119" s="22" t="s">
        <v>398</v>
      </c>
      <c r="AW119" s="40">
        <f t="shared" si="152"/>
        <v>9.7560975609756101E-2</v>
      </c>
      <c r="AX119" s="40">
        <f t="shared" si="153"/>
        <v>0.1</v>
      </c>
      <c r="AY119" s="40"/>
      <c r="AZ119" s="40">
        <f t="shared" si="154"/>
        <v>7.6923076923076927E-2</v>
      </c>
      <c r="BA119" s="40">
        <f t="shared" si="155"/>
        <v>0</v>
      </c>
      <c r="BB119" s="40">
        <f t="shared" si="156"/>
        <v>0</v>
      </c>
      <c r="BC119" s="40"/>
      <c r="BD119" s="40">
        <f t="shared" si="157"/>
        <v>0</v>
      </c>
      <c r="BE119" s="40"/>
      <c r="BF119" s="40"/>
      <c r="BG119" s="40">
        <f t="shared" si="158"/>
        <v>0</v>
      </c>
      <c r="BH119" s="40"/>
      <c r="BI119" s="40">
        <f t="shared" si="159"/>
        <v>0</v>
      </c>
      <c r="BJ119" s="40">
        <f t="shared" si="160"/>
        <v>0</v>
      </c>
      <c r="BK119" s="40"/>
      <c r="BL119" s="54"/>
    </row>
    <row r="120" spans="4:64" ht="15.95">
      <c r="E120" t="s">
        <v>12</v>
      </c>
      <c r="F120" t="e">
        <v>#DIV/0!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  <c r="L120" t="e">
        <v>#DIV/0!</v>
      </c>
      <c r="M120">
        <f>SUM(M118:M119)</f>
        <v>28</v>
      </c>
      <c r="O120">
        <v>145</v>
      </c>
      <c r="P120" t="s">
        <v>12</v>
      </c>
      <c r="Q120" s="15" t="e">
        <f t="shared" ref="Q120" si="192">F120/$N$56</f>
        <v>#DIV/0!</v>
      </c>
      <c r="R120" s="15" t="e">
        <f t="shared" ref="R120" si="193">G120/$N$56</f>
        <v>#DIV/0!</v>
      </c>
      <c r="S120" s="15" t="e">
        <f t="shared" ref="S120" si="194">H120/$N$56</f>
        <v>#DIV/0!</v>
      </c>
      <c r="T120" s="15" t="e">
        <f t="shared" ref="T120" si="195">I120/$N$56</f>
        <v>#DIV/0!</v>
      </c>
      <c r="U120" s="15" t="e">
        <f t="shared" ref="U120" si="196">J120/$N$56</f>
        <v>#DIV/0!</v>
      </c>
      <c r="V120" s="15" t="e">
        <f t="shared" ref="V120" si="197">K120/$N$56</f>
        <v>#DIV/0!</v>
      </c>
      <c r="W120" s="15" t="e">
        <f t="shared" ref="W120" si="198">L120/$N$56</f>
        <v>#DIV/0!</v>
      </c>
      <c r="X120" s="15"/>
      <c r="Y120" s="16">
        <f>SUM(Y118:Y119)</f>
        <v>0.99999999999999989</v>
      </c>
      <c r="Z120" s="16"/>
      <c r="AG120" t="s">
        <v>325</v>
      </c>
      <c r="AH120" t="s">
        <v>332</v>
      </c>
      <c r="AI120" s="16">
        <f>Q114</f>
        <v>0</v>
      </c>
      <c r="AM120" t="s">
        <v>344</v>
      </c>
      <c r="AN120" t="s">
        <v>317</v>
      </c>
      <c r="AV120" s="53" t="s">
        <v>404</v>
      </c>
      <c r="AW120" s="40">
        <f t="shared" si="152"/>
        <v>4.878048780487805E-2</v>
      </c>
      <c r="AX120" s="40">
        <f t="shared" si="153"/>
        <v>0.1</v>
      </c>
      <c r="AY120" s="40"/>
      <c r="AZ120" s="40">
        <f t="shared" si="154"/>
        <v>0</v>
      </c>
      <c r="BA120" s="40">
        <f t="shared" si="155"/>
        <v>0</v>
      </c>
      <c r="BB120" s="40">
        <f t="shared" si="156"/>
        <v>0</v>
      </c>
      <c r="BC120" s="40"/>
      <c r="BD120" s="40">
        <f t="shared" si="157"/>
        <v>0</v>
      </c>
      <c r="BE120" s="40"/>
      <c r="BF120" s="40"/>
      <c r="BG120" s="40">
        <f t="shared" si="158"/>
        <v>0.14285714285714285</v>
      </c>
      <c r="BH120" s="40"/>
      <c r="BI120" s="40">
        <f t="shared" si="159"/>
        <v>0</v>
      </c>
      <c r="BJ120" s="40">
        <f t="shared" si="160"/>
        <v>1</v>
      </c>
      <c r="BK120" s="40"/>
      <c r="BL120" s="63"/>
    </row>
    <row r="121" spans="4:64">
      <c r="N121">
        <f>SUM(N118:N119)</f>
        <v>173</v>
      </c>
      <c r="X121" s="16">
        <f>SUM(X118,X119,X120)</f>
        <v>1</v>
      </c>
      <c r="AG121" t="s">
        <v>323</v>
      </c>
      <c r="AH121" t="s">
        <v>438</v>
      </c>
      <c r="AI121" s="16">
        <f>T113</f>
        <v>0</v>
      </c>
      <c r="AV121" s="53" t="s">
        <v>408</v>
      </c>
      <c r="AW121" s="40">
        <f t="shared" si="152"/>
        <v>2.4390243902439025E-2</v>
      </c>
      <c r="AX121" s="40">
        <f t="shared" si="153"/>
        <v>0</v>
      </c>
      <c r="AY121" s="40"/>
      <c r="AZ121" s="40">
        <f t="shared" si="154"/>
        <v>0.15384615384615385</v>
      </c>
      <c r="BA121" s="40">
        <f t="shared" si="155"/>
        <v>0</v>
      </c>
      <c r="BB121" s="40">
        <f t="shared" si="156"/>
        <v>0</v>
      </c>
      <c r="BC121" s="40"/>
      <c r="BD121" s="40">
        <f t="shared" si="157"/>
        <v>0.2</v>
      </c>
      <c r="BE121" s="40"/>
      <c r="BF121" s="40"/>
      <c r="BG121" s="40">
        <f t="shared" si="158"/>
        <v>0.14285714285714285</v>
      </c>
      <c r="BH121" s="40"/>
      <c r="BI121" s="40">
        <f t="shared" si="159"/>
        <v>0</v>
      </c>
      <c r="BJ121" s="40">
        <f t="shared" si="160"/>
        <v>0</v>
      </c>
      <c r="BK121" s="40"/>
      <c r="BL121" s="63"/>
    </row>
    <row r="122" spans="4:64" ht="15.95">
      <c r="D122" t="s">
        <v>26</v>
      </c>
      <c r="E122" s="5" t="s">
        <v>40</v>
      </c>
      <c r="F122" t="s">
        <v>25</v>
      </c>
      <c r="G122" t="s">
        <v>3</v>
      </c>
      <c r="H122" t="s">
        <v>4</v>
      </c>
      <c r="I122" t="s">
        <v>5</v>
      </c>
      <c r="J122" t="s">
        <v>6</v>
      </c>
      <c r="K122" t="s">
        <v>7</v>
      </c>
      <c r="L122" t="s">
        <v>8</v>
      </c>
      <c r="M122" t="s">
        <v>9</v>
      </c>
      <c r="O122" t="s">
        <v>341</v>
      </c>
      <c r="P122" s="5" t="s">
        <v>40</v>
      </c>
      <c r="Q122" t="s">
        <v>25</v>
      </c>
      <c r="R122" s="13" t="s">
        <v>14</v>
      </c>
      <c r="S122" t="s">
        <v>4</v>
      </c>
      <c r="T122" s="13" t="s">
        <v>5</v>
      </c>
      <c r="U122" s="13" t="s">
        <v>6</v>
      </c>
      <c r="V122" s="13" t="s">
        <v>7</v>
      </c>
      <c r="W122" s="13" t="s">
        <v>8</v>
      </c>
      <c r="X122" t="s">
        <v>9</v>
      </c>
      <c r="AG122" t="s">
        <v>377</v>
      </c>
      <c r="AH122" t="s">
        <v>286</v>
      </c>
      <c r="AI122" s="16">
        <f>W113</f>
        <v>0</v>
      </c>
      <c r="AV122" t="s">
        <v>482</v>
      </c>
      <c r="AW122" s="40">
        <f t="shared" si="152"/>
        <v>1</v>
      </c>
      <c r="AX122" s="40">
        <f t="shared" si="153"/>
        <v>1</v>
      </c>
      <c r="AY122" s="40"/>
      <c r="AZ122" s="40">
        <f t="shared" si="154"/>
        <v>1</v>
      </c>
      <c r="BA122" s="40">
        <f t="shared" si="155"/>
        <v>1</v>
      </c>
      <c r="BB122" s="40">
        <f t="shared" si="156"/>
        <v>1</v>
      </c>
      <c r="BC122" s="40"/>
      <c r="BD122" s="40">
        <f t="shared" si="157"/>
        <v>1</v>
      </c>
      <c r="BE122" s="40"/>
      <c r="BF122" s="40"/>
      <c r="BG122" s="40">
        <f t="shared" si="158"/>
        <v>1</v>
      </c>
      <c r="BH122" s="40"/>
      <c r="BI122" s="40">
        <f t="shared" si="159"/>
        <v>1</v>
      </c>
      <c r="BJ122" s="40">
        <f t="shared" si="160"/>
        <v>1</v>
      </c>
      <c r="BK122" s="40"/>
      <c r="BL122" s="64"/>
    </row>
    <row r="123" spans="4:64" ht="15.95">
      <c r="E123" s="5" t="s">
        <v>10</v>
      </c>
      <c r="F123">
        <v>23</v>
      </c>
      <c r="G123">
        <v>0</v>
      </c>
      <c r="H123">
        <v>0</v>
      </c>
      <c r="I123">
        <v>1</v>
      </c>
      <c r="J123">
        <v>0</v>
      </c>
      <c r="K123">
        <v>3</v>
      </c>
      <c r="L123">
        <v>1</v>
      </c>
      <c r="M123">
        <f>SUM(F123:L123)</f>
        <v>28</v>
      </c>
      <c r="N123">
        <v>69</v>
      </c>
      <c r="O123">
        <v>41</v>
      </c>
      <c r="P123" s="5" t="s">
        <v>10</v>
      </c>
      <c r="Q123" s="15">
        <f>F123/$M$125</f>
        <v>0.76666666666666672</v>
      </c>
      <c r="R123" s="15">
        <f t="shared" ref="R123:W124" si="199">G123/$M$125</f>
        <v>0</v>
      </c>
      <c r="S123" s="15">
        <f t="shared" si="199"/>
        <v>0</v>
      </c>
      <c r="T123" s="15">
        <f t="shared" si="199"/>
        <v>3.3333333333333333E-2</v>
      </c>
      <c r="U123" s="15">
        <f t="shared" si="199"/>
        <v>0</v>
      </c>
      <c r="V123" s="15">
        <f t="shared" si="199"/>
        <v>0.1</v>
      </c>
      <c r="W123" s="15">
        <f t="shared" si="199"/>
        <v>3.3333333333333333E-2</v>
      </c>
      <c r="X123" s="15">
        <f>M123/$M$125</f>
        <v>0.93333333333333335</v>
      </c>
      <c r="Y123" s="16">
        <f>SUM(Q123:W123)</f>
        <v>0.93333333333333335</v>
      </c>
      <c r="Z123" s="16"/>
      <c r="AW123" s="56"/>
      <c r="AX123" s="52"/>
      <c r="AY123" s="51"/>
      <c r="AZ123" s="61"/>
      <c r="BA123" s="56"/>
      <c r="BB123" s="52"/>
      <c r="BC123" s="60"/>
      <c r="BD123" s="52"/>
      <c r="BE123" s="62"/>
      <c r="BF123" s="61"/>
      <c r="BG123" s="61"/>
      <c r="BH123" s="52"/>
      <c r="BI123" s="62"/>
      <c r="BJ123" s="55"/>
      <c r="BK123" s="51"/>
      <c r="BL123" s="52"/>
    </row>
    <row r="124" spans="4:64" ht="15.95">
      <c r="E124" s="5" t="s">
        <v>11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f t="shared" ref="M124" si="200">SUM(F124:L124)</f>
        <v>2</v>
      </c>
      <c r="N124">
        <v>2</v>
      </c>
      <c r="O124">
        <v>0</v>
      </c>
      <c r="P124" s="5" t="s">
        <v>11</v>
      </c>
      <c r="Q124" s="15">
        <f>F124/$M$125</f>
        <v>6.6666666666666666E-2</v>
      </c>
      <c r="R124" s="15">
        <f t="shared" si="199"/>
        <v>0</v>
      </c>
      <c r="S124" s="15">
        <f t="shared" si="199"/>
        <v>0</v>
      </c>
      <c r="T124" s="15">
        <f t="shared" si="199"/>
        <v>0</v>
      </c>
      <c r="U124" s="15">
        <f t="shared" si="199"/>
        <v>0</v>
      </c>
      <c r="V124" s="15">
        <f t="shared" si="199"/>
        <v>0</v>
      </c>
      <c r="W124" s="15">
        <f t="shared" si="199"/>
        <v>0</v>
      </c>
      <c r="X124" s="15">
        <f>M124/$M$125</f>
        <v>6.6666666666666666E-2</v>
      </c>
      <c r="Y124" s="16">
        <f>SUM(P124:W124)</f>
        <v>6.6666666666666666E-2</v>
      </c>
      <c r="Z124" s="16"/>
      <c r="AX124" s="58"/>
      <c r="AY124" s="57"/>
      <c r="AZ124" s="59"/>
      <c r="BK124" s="53"/>
    </row>
    <row r="125" spans="4:64" ht="15.95">
      <c r="E125" t="s">
        <v>12</v>
      </c>
      <c r="F125" t="e">
        <v>#DIV/0!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  <c r="L125" t="e">
        <v>#DIV/0!</v>
      </c>
      <c r="M125">
        <f>SUM(M123:M124)</f>
        <v>30</v>
      </c>
      <c r="O125">
        <v>41</v>
      </c>
      <c r="P125" t="s">
        <v>12</v>
      </c>
      <c r="Q125" s="15" t="e">
        <f t="shared" ref="Q125" si="201">F125/$N$56</f>
        <v>#DIV/0!</v>
      </c>
      <c r="R125" s="15" t="e">
        <f t="shared" ref="R125" si="202">G125/$N$56</f>
        <v>#DIV/0!</v>
      </c>
      <c r="S125" s="15" t="e">
        <f t="shared" ref="S125" si="203">H125/$N$56</f>
        <v>#DIV/0!</v>
      </c>
      <c r="T125" s="15" t="e">
        <f t="shared" ref="T125" si="204">I125/$N$56</f>
        <v>#DIV/0!</v>
      </c>
      <c r="U125" s="15" t="e">
        <f t="shared" ref="U125" si="205">J125/$N$56</f>
        <v>#DIV/0!</v>
      </c>
      <c r="V125" s="15" t="e">
        <f t="shared" ref="V125" si="206">K125/$N$56</f>
        <v>#DIV/0!</v>
      </c>
      <c r="W125" s="15" t="e">
        <f t="shared" ref="W125" si="207">L125/$N$56</f>
        <v>#DIV/0!</v>
      </c>
      <c r="X125" s="15"/>
      <c r="Y125" s="16">
        <f>SUM(Y123:Y124)</f>
        <v>1</v>
      </c>
      <c r="Z125" s="16"/>
    </row>
    <row r="126" spans="4:64">
      <c r="N126">
        <f>SUM(N123:N124)</f>
        <v>71</v>
      </c>
      <c r="X126" s="16">
        <f>SUM(X123,X124,X125)</f>
        <v>1</v>
      </c>
    </row>
    <row r="127" spans="4:64" ht="15.95">
      <c r="D127" t="s">
        <v>26</v>
      </c>
      <c r="E127" s="5" t="s">
        <v>41</v>
      </c>
      <c r="F127" t="s">
        <v>25</v>
      </c>
      <c r="G127" t="s">
        <v>3</v>
      </c>
      <c r="H127" t="s">
        <v>4</v>
      </c>
      <c r="I127" t="s">
        <v>5</v>
      </c>
      <c r="J127" t="s">
        <v>6</v>
      </c>
      <c r="K127" t="s">
        <v>7</v>
      </c>
      <c r="L127" t="s">
        <v>8</v>
      </c>
      <c r="M127" t="s">
        <v>9</v>
      </c>
      <c r="O127" t="s">
        <v>341</v>
      </c>
      <c r="P127" s="5" t="s">
        <v>41</v>
      </c>
      <c r="Q127" t="s">
        <v>25</v>
      </c>
      <c r="R127" s="13" t="s">
        <v>14</v>
      </c>
      <c r="S127" t="s">
        <v>4</v>
      </c>
      <c r="T127" s="13" t="s">
        <v>5</v>
      </c>
      <c r="U127" s="13" t="s">
        <v>6</v>
      </c>
      <c r="V127" s="13" t="s">
        <v>7</v>
      </c>
      <c r="W127" s="13" t="s">
        <v>8</v>
      </c>
      <c r="X127" t="s">
        <v>9</v>
      </c>
    </row>
    <row r="128" spans="4:64" ht="15.95">
      <c r="E128" s="5" t="s">
        <v>10</v>
      </c>
      <c r="F128">
        <v>12</v>
      </c>
      <c r="G128">
        <v>2</v>
      </c>
      <c r="H128">
        <v>0</v>
      </c>
      <c r="I128">
        <v>3</v>
      </c>
      <c r="J128">
        <v>1</v>
      </c>
      <c r="K128">
        <v>0</v>
      </c>
      <c r="L128">
        <v>0</v>
      </c>
      <c r="M128">
        <f>SUM(F128:L128)</f>
        <v>18</v>
      </c>
      <c r="N128">
        <v>51</v>
      </c>
      <c r="O128">
        <v>33</v>
      </c>
      <c r="P128" s="5" t="s">
        <v>10</v>
      </c>
      <c r="Q128" s="15">
        <f>F128/$M$130</f>
        <v>0.6</v>
      </c>
      <c r="R128" s="15">
        <f t="shared" ref="R128:W129" si="208">G128/$M$130</f>
        <v>0.1</v>
      </c>
      <c r="S128" s="15">
        <f t="shared" si="208"/>
        <v>0</v>
      </c>
      <c r="T128" s="15">
        <f t="shared" si="208"/>
        <v>0.15</v>
      </c>
      <c r="U128" s="15">
        <f t="shared" si="208"/>
        <v>0.05</v>
      </c>
      <c r="V128" s="15">
        <f t="shared" si="208"/>
        <v>0</v>
      </c>
      <c r="W128" s="15">
        <f t="shared" si="208"/>
        <v>0</v>
      </c>
      <c r="X128" s="15">
        <f>M128/$M$130</f>
        <v>0.9</v>
      </c>
      <c r="Y128" s="16">
        <f>SUM(P128:W128)</f>
        <v>0.9</v>
      </c>
      <c r="Z128" s="16"/>
    </row>
    <row r="129" spans="4:44" ht="15.95">
      <c r="E129" s="5" t="s">
        <v>11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f t="shared" ref="M129" si="209">SUM(F129:L129)</f>
        <v>2</v>
      </c>
      <c r="N129">
        <v>2</v>
      </c>
      <c r="O129">
        <v>0</v>
      </c>
      <c r="P129" s="5" t="s">
        <v>11</v>
      </c>
      <c r="Q129" s="15">
        <f>F129/$M$130</f>
        <v>0.1</v>
      </c>
      <c r="R129" s="15">
        <f t="shared" si="208"/>
        <v>0</v>
      </c>
      <c r="S129" s="15">
        <f t="shared" si="208"/>
        <v>0</v>
      </c>
      <c r="T129" s="15">
        <f t="shared" si="208"/>
        <v>0</v>
      </c>
      <c r="U129" s="15">
        <f t="shared" si="208"/>
        <v>0</v>
      </c>
      <c r="V129" s="15">
        <f t="shared" si="208"/>
        <v>0</v>
      </c>
      <c r="W129" s="15">
        <f t="shared" si="208"/>
        <v>0</v>
      </c>
      <c r="X129" s="15">
        <f>M129/$M$130</f>
        <v>0.1</v>
      </c>
      <c r="Y129" s="16">
        <f>SUM(P129:W129)</f>
        <v>0.1</v>
      </c>
      <c r="Z129" s="16"/>
    </row>
    <row r="130" spans="4:44" ht="15.95">
      <c r="E130" t="s">
        <v>12</v>
      </c>
      <c r="F130" t="e">
        <v>#DIV/0!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  <c r="L130" t="e">
        <v>#DIV/0!</v>
      </c>
      <c r="M130">
        <f>SUM(M128:M129)</f>
        <v>20</v>
      </c>
      <c r="O130">
        <v>33</v>
      </c>
      <c r="P130" t="s">
        <v>12</v>
      </c>
      <c r="Q130" s="15" t="e">
        <f t="shared" ref="Q130" si="210">F130/$N$56</f>
        <v>#DIV/0!</v>
      </c>
      <c r="R130" s="15" t="e">
        <f t="shared" ref="R130" si="211">G130/$N$56</f>
        <v>#DIV/0!</v>
      </c>
      <c r="S130" s="15" t="e">
        <f t="shared" ref="S130" si="212">H130/$N$56</f>
        <v>#DIV/0!</v>
      </c>
      <c r="T130" s="15" t="e">
        <f t="shared" ref="T130" si="213">I130/$N$56</f>
        <v>#DIV/0!</v>
      </c>
      <c r="U130" s="15" t="e">
        <f t="shared" ref="U130" si="214">J130/$N$56</f>
        <v>#DIV/0!</v>
      </c>
      <c r="V130" s="15" t="e">
        <f t="shared" ref="V130" si="215">K130/$N$56</f>
        <v>#DIV/0!</v>
      </c>
      <c r="W130" s="15" t="e">
        <f t="shared" ref="W130" si="216">L130/$N$56</f>
        <v>#DIV/0!</v>
      </c>
      <c r="X130" s="15"/>
      <c r="Y130" s="16">
        <f>SUM(Y128:Y129)</f>
        <v>1</v>
      </c>
      <c r="Z130" s="16"/>
      <c r="AA130">
        <v>10</v>
      </c>
      <c r="AB130" t="s">
        <v>498</v>
      </c>
      <c r="AG130">
        <v>7</v>
      </c>
      <c r="AH130" t="s">
        <v>499</v>
      </c>
      <c r="AM130">
        <v>6</v>
      </c>
      <c r="AN130" t="s">
        <v>500</v>
      </c>
    </row>
    <row r="131" spans="4:44">
      <c r="N131">
        <f>SUM(N128:N129)</f>
        <v>53</v>
      </c>
      <c r="X131" s="16">
        <f>SUM(X128,X129,X130)</f>
        <v>1</v>
      </c>
      <c r="AA131" t="s">
        <v>383</v>
      </c>
      <c r="AB131" t="s">
        <v>400</v>
      </c>
      <c r="AG131" t="s">
        <v>460</v>
      </c>
      <c r="AH131" t="s">
        <v>461</v>
      </c>
      <c r="AM131" t="s">
        <v>351</v>
      </c>
      <c r="AN131" t="s">
        <v>362</v>
      </c>
      <c r="AO131" s="16">
        <f>U133</f>
        <v>4.1666666666666664E-2</v>
      </c>
      <c r="AP131" t="str">
        <f>AN133</f>
        <v>pete</v>
      </c>
      <c r="AQ131" s="16">
        <f>SUM(AO133:AO136)</f>
        <v>0.70833333333333337</v>
      </c>
      <c r="AR131">
        <f>$N$136*AQ131</f>
        <v>17</v>
      </c>
    </row>
    <row r="132" spans="4:44" ht="15.95">
      <c r="D132" t="s">
        <v>26</v>
      </c>
      <c r="E132" s="5" t="s">
        <v>42</v>
      </c>
      <c r="F132" t="s">
        <v>25</v>
      </c>
      <c r="G132" t="s">
        <v>3</v>
      </c>
      <c r="H132" t="s">
        <v>4</v>
      </c>
      <c r="I132" t="s">
        <v>5</v>
      </c>
      <c r="J132" t="s">
        <v>6</v>
      </c>
      <c r="K132" t="s">
        <v>7</v>
      </c>
      <c r="L132" t="s">
        <v>8</v>
      </c>
      <c r="M132" t="s">
        <v>9</v>
      </c>
      <c r="O132" t="s">
        <v>341</v>
      </c>
      <c r="P132" s="5" t="s">
        <v>42</v>
      </c>
      <c r="Q132" t="s">
        <v>25</v>
      </c>
      <c r="R132" s="13" t="s">
        <v>14</v>
      </c>
      <c r="S132" t="s">
        <v>4</v>
      </c>
      <c r="T132" s="13" t="s">
        <v>5</v>
      </c>
      <c r="U132" s="13" t="s">
        <v>6</v>
      </c>
      <c r="V132" s="13" t="s">
        <v>7</v>
      </c>
      <c r="W132" s="13" t="s">
        <v>8</v>
      </c>
      <c r="X132" t="s">
        <v>9</v>
      </c>
      <c r="AA132" t="s">
        <v>365</v>
      </c>
      <c r="AB132" t="s">
        <v>321</v>
      </c>
      <c r="AG132" t="s">
        <v>460</v>
      </c>
      <c r="AH132" t="s">
        <v>464</v>
      </c>
      <c r="AM132" t="s">
        <v>377</v>
      </c>
      <c r="AN132" t="s">
        <v>387</v>
      </c>
      <c r="AO132" s="16">
        <f>W133</f>
        <v>4.1666666666666664E-2</v>
      </c>
      <c r="AP132" t="str">
        <f>AN132</f>
        <v>cellulose_OM</v>
      </c>
      <c r="AQ132" s="16">
        <f>AO132</f>
        <v>4.1666666666666664E-2</v>
      </c>
      <c r="AR132">
        <f>$N$136*AQ132</f>
        <v>1</v>
      </c>
    </row>
    <row r="133" spans="4:44" ht="15.95">
      <c r="E133" s="5" t="s">
        <v>10</v>
      </c>
      <c r="F133">
        <v>13</v>
      </c>
      <c r="G133" s="2">
        <v>2</v>
      </c>
      <c r="H133">
        <v>0</v>
      </c>
      <c r="I133">
        <v>4</v>
      </c>
      <c r="J133">
        <v>1</v>
      </c>
      <c r="K133">
        <v>0</v>
      </c>
      <c r="L133">
        <v>1</v>
      </c>
      <c r="M133">
        <v>0</v>
      </c>
      <c r="N133">
        <v>21</v>
      </c>
      <c r="O133">
        <f>SUM(F133:M133)</f>
        <v>21</v>
      </c>
      <c r="P133" s="5" t="s">
        <v>10</v>
      </c>
      <c r="Q133" s="15">
        <f t="shared" ref="Q133:Y134" si="217">F133/$N$136</f>
        <v>0.54166666666666663</v>
      </c>
      <c r="R133" s="15">
        <f t="shared" si="217"/>
        <v>8.3333333333333329E-2</v>
      </c>
      <c r="S133" s="15">
        <f t="shared" si="217"/>
        <v>0</v>
      </c>
      <c r="T133" s="15">
        <f t="shared" si="217"/>
        <v>0.16666666666666666</v>
      </c>
      <c r="U133" s="15">
        <f t="shared" si="217"/>
        <v>4.1666666666666664E-2</v>
      </c>
      <c r="V133" s="15">
        <f t="shared" si="217"/>
        <v>0</v>
      </c>
      <c r="W133" s="15">
        <f t="shared" si="217"/>
        <v>4.1666666666666664E-2</v>
      </c>
      <c r="X133" s="15">
        <f t="shared" si="217"/>
        <v>0</v>
      </c>
      <c r="Y133" s="15">
        <f t="shared" si="217"/>
        <v>0.875</v>
      </c>
      <c r="Z133" s="16">
        <f>SUM(Q133:X133)</f>
        <v>0.87499999999999989</v>
      </c>
      <c r="AA133" t="s">
        <v>339</v>
      </c>
      <c r="AB133" t="s">
        <v>356</v>
      </c>
      <c r="AG133" t="s">
        <v>460</v>
      </c>
      <c r="AH133" t="s">
        <v>466</v>
      </c>
      <c r="AM133" t="s">
        <v>323</v>
      </c>
      <c r="AN133" t="s">
        <v>286</v>
      </c>
      <c r="AO133" s="16">
        <f>T133</f>
        <v>0.16666666666666666</v>
      </c>
      <c r="AP133" t="str">
        <f>AN131</f>
        <v>eps</v>
      </c>
      <c r="AQ133" s="16">
        <f>AO131</f>
        <v>4.1666666666666664E-2</v>
      </c>
      <c r="AR133">
        <f>$N$136*AQ133</f>
        <v>1</v>
      </c>
    </row>
    <row r="134" spans="4:44" ht="15.95">
      <c r="E134" s="5" t="s">
        <v>11</v>
      </c>
      <c r="F134" s="2">
        <v>2</v>
      </c>
      <c r="G134" s="2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O134">
        <f>SUM(F134:M134)</f>
        <v>3</v>
      </c>
      <c r="P134" s="5" t="s">
        <v>11</v>
      </c>
      <c r="Q134" s="15">
        <f t="shared" si="217"/>
        <v>8.3333333333333329E-2</v>
      </c>
      <c r="R134" s="15">
        <f t="shared" si="217"/>
        <v>4.1666666666666664E-2</v>
      </c>
      <c r="S134" s="15">
        <f t="shared" si="217"/>
        <v>0</v>
      </c>
      <c r="T134" s="15">
        <f t="shared" si="217"/>
        <v>0</v>
      </c>
      <c r="U134" s="15">
        <f t="shared" si="217"/>
        <v>0</v>
      </c>
      <c r="V134" s="15">
        <f t="shared" si="217"/>
        <v>0</v>
      </c>
      <c r="W134" s="15">
        <f t="shared" si="217"/>
        <v>0</v>
      </c>
      <c r="X134" s="15">
        <f t="shared" si="217"/>
        <v>0</v>
      </c>
      <c r="Y134" s="15">
        <f t="shared" si="217"/>
        <v>0.125</v>
      </c>
      <c r="Z134" s="16">
        <f>SUM(Q134:X134)</f>
        <v>0.125</v>
      </c>
      <c r="AA134" t="s">
        <v>339</v>
      </c>
      <c r="AB134" t="s">
        <v>361</v>
      </c>
      <c r="AG134" t="s">
        <v>375</v>
      </c>
      <c r="AH134" t="s">
        <v>286</v>
      </c>
      <c r="AM134" t="s">
        <v>344</v>
      </c>
      <c r="AN134" t="s">
        <v>286</v>
      </c>
      <c r="AO134">
        <f>$Q$133/3</f>
        <v>0.18055555555555555</v>
      </c>
      <c r="AQ134" s="16">
        <f>SUM(AQ131:AQ133)</f>
        <v>0.79166666666666663</v>
      </c>
      <c r="AR134" s="16">
        <f>SUM(AR131:AR133)</f>
        <v>19</v>
      </c>
    </row>
    <row r="135" spans="4:44" ht="15.95">
      <c r="E135" t="s">
        <v>12</v>
      </c>
      <c r="F135" t="e">
        <v>#DIV/0!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  <c r="L135" t="e">
        <v>#DIV/0!</v>
      </c>
      <c r="M135" t="e">
        <v>#DIV/0!</v>
      </c>
      <c r="P135" t="s">
        <v>12</v>
      </c>
      <c r="Q135" s="15" t="e">
        <f t="shared" ref="Q135" si="218">F135/$N$56</f>
        <v>#DIV/0!</v>
      </c>
      <c r="R135" s="15" t="e">
        <f t="shared" ref="R135" si="219">G135/$N$56</f>
        <v>#DIV/0!</v>
      </c>
      <c r="S135" s="15" t="e">
        <f t="shared" ref="S135" si="220">H135/$N$56</f>
        <v>#DIV/0!</v>
      </c>
      <c r="T135" s="15" t="e">
        <f t="shared" ref="T135" si="221">I135/$N$56</f>
        <v>#DIV/0!</v>
      </c>
      <c r="U135" s="15" t="e">
        <f t="shared" ref="U135" si="222">J135/$N$56</f>
        <v>#DIV/0!</v>
      </c>
      <c r="V135" s="15" t="e">
        <f t="shared" ref="V135" si="223">K135/$N$56</f>
        <v>#DIV/0!</v>
      </c>
      <c r="W135" s="15" t="e">
        <f t="shared" ref="W135" si="224">L135/$N$56</f>
        <v>#DIV/0!</v>
      </c>
      <c r="X135" s="15" t="e">
        <f t="shared" ref="X135" si="225">M135/$N$56</f>
        <v>#DIV/0!</v>
      </c>
      <c r="Y135" s="15"/>
      <c r="Z135" s="16">
        <f>SUM(Z133:Z134)</f>
        <v>0.99999999999999989</v>
      </c>
      <c r="AA135" t="s">
        <v>339</v>
      </c>
      <c r="AB135" t="s">
        <v>286</v>
      </c>
      <c r="AG135" t="s">
        <v>344</v>
      </c>
      <c r="AH135" t="s">
        <v>355</v>
      </c>
      <c r="AM135" t="s">
        <v>344</v>
      </c>
      <c r="AN135" t="s">
        <v>286</v>
      </c>
      <c r="AO135">
        <f t="shared" ref="AO135:AO136" si="226">$Q$133/3</f>
        <v>0.18055555555555555</v>
      </c>
    </row>
    <row r="136" spans="4:44">
      <c r="N136">
        <f>SUM(N133:N134)</f>
        <v>24</v>
      </c>
      <c r="Y136" s="16">
        <f t="shared" si="189"/>
        <v>1</v>
      </c>
      <c r="AA136" t="s">
        <v>313</v>
      </c>
      <c r="AB136" t="s">
        <v>350</v>
      </c>
      <c r="AG136" t="s">
        <v>313</v>
      </c>
      <c r="AH136" t="s">
        <v>345</v>
      </c>
      <c r="AM136" t="s">
        <v>344</v>
      </c>
      <c r="AN136" t="s">
        <v>286</v>
      </c>
      <c r="AO136">
        <f t="shared" si="226"/>
        <v>0.18055555555555555</v>
      </c>
    </row>
    <row r="137" spans="4:44" ht="15.95">
      <c r="D137" t="s">
        <v>26</v>
      </c>
      <c r="E137" s="5" t="s">
        <v>43</v>
      </c>
      <c r="F137" t="s">
        <v>25</v>
      </c>
      <c r="G137" t="s">
        <v>3</v>
      </c>
      <c r="H137" t="s">
        <v>4</v>
      </c>
      <c r="I137" t="s">
        <v>5</v>
      </c>
      <c r="J137" t="s">
        <v>6</v>
      </c>
      <c r="K137" t="s">
        <v>7</v>
      </c>
      <c r="L137" t="s">
        <v>8</v>
      </c>
      <c r="M137" t="s">
        <v>9</v>
      </c>
      <c r="O137" t="s">
        <v>341</v>
      </c>
      <c r="P137" s="5" t="s">
        <v>43</v>
      </c>
      <c r="Q137" t="s">
        <v>25</v>
      </c>
      <c r="R137" s="13" t="s">
        <v>14</v>
      </c>
      <c r="S137" t="s">
        <v>4</v>
      </c>
      <c r="T137" s="13" t="s">
        <v>5</v>
      </c>
      <c r="U137" s="13" t="s">
        <v>6</v>
      </c>
      <c r="V137" s="13" t="s">
        <v>7</v>
      </c>
      <c r="W137" s="13" t="s">
        <v>8</v>
      </c>
      <c r="X137" t="s">
        <v>9</v>
      </c>
      <c r="AA137" t="s">
        <v>375</v>
      </c>
      <c r="AB137" t="s">
        <v>361</v>
      </c>
      <c r="AG137" t="s">
        <v>402</v>
      </c>
      <c r="AH137" t="s">
        <v>403</v>
      </c>
    </row>
    <row r="138" spans="4:44" ht="15.95">
      <c r="E138" s="5" t="s">
        <v>10</v>
      </c>
      <c r="F138">
        <v>21</v>
      </c>
      <c r="G138">
        <v>4</v>
      </c>
      <c r="H138">
        <v>0</v>
      </c>
      <c r="I138">
        <v>1</v>
      </c>
      <c r="J138">
        <v>2</v>
      </c>
      <c r="K138">
        <v>1</v>
      </c>
      <c r="L138">
        <v>2</v>
      </c>
      <c r="M138">
        <v>0</v>
      </c>
      <c r="N138">
        <v>31</v>
      </c>
      <c r="P138" s="5" t="s">
        <v>10</v>
      </c>
      <c r="Q138" s="15">
        <f t="shared" ref="Q138:Y139" si="227">F138/$N$141</f>
        <v>0.61764705882352944</v>
      </c>
      <c r="R138" s="15">
        <f t="shared" si="227"/>
        <v>0.11764705882352941</v>
      </c>
      <c r="S138" s="15">
        <f t="shared" si="227"/>
        <v>0</v>
      </c>
      <c r="T138" s="15">
        <f t="shared" si="227"/>
        <v>2.9411764705882353E-2</v>
      </c>
      <c r="U138" s="49">
        <f t="shared" si="227"/>
        <v>5.8823529411764705E-2</v>
      </c>
      <c r="V138" s="49">
        <f t="shared" si="227"/>
        <v>2.9411764705882353E-2</v>
      </c>
      <c r="W138" s="49">
        <f t="shared" si="227"/>
        <v>5.8823529411764705E-2</v>
      </c>
      <c r="X138" s="15">
        <f t="shared" si="227"/>
        <v>0</v>
      </c>
      <c r="Y138" s="15">
        <f t="shared" si="227"/>
        <v>0.91176470588235292</v>
      </c>
      <c r="Z138" s="16">
        <f>SUM(Q138:X138)</f>
        <v>0.91176470588235303</v>
      </c>
      <c r="AA138" t="s">
        <v>344</v>
      </c>
      <c r="AB138" t="s">
        <v>286</v>
      </c>
    </row>
    <row r="139" spans="4:44" ht="15.95">
      <c r="E139" s="5" t="s">
        <v>11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P139" s="5" t="s">
        <v>11</v>
      </c>
      <c r="Q139" s="15">
        <f t="shared" si="227"/>
        <v>8.8235294117647065E-2</v>
      </c>
      <c r="R139" s="15">
        <f t="shared" si="227"/>
        <v>0</v>
      </c>
      <c r="S139" s="15">
        <f t="shared" si="227"/>
        <v>0</v>
      </c>
      <c r="T139" s="15">
        <f t="shared" si="227"/>
        <v>0</v>
      </c>
      <c r="U139" s="15">
        <f t="shared" si="227"/>
        <v>0</v>
      </c>
      <c r="V139" s="15">
        <f t="shared" si="227"/>
        <v>0</v>
      </c>
      <c r="W139" s="15">
        <f t="shared" si="227"/>
        <v>0</v>
      </c>
      <c r="X139" s="15">
        <f t="shared" si="227"/>
        <v>0</v>
      </c>
      <c r="Y139" s="15">
        <f t="shared" si="227"/>
        <v>8.8235294117647065E-2</v>
      </c>
      <c r="Z139" s="16">
        <f>SUM(Q139:X139)</f>
        <v>8.8235294117647065E-2</v>
      </c>
      <c r="AA139" t="s">
        <v>351</v>
      </c>
      <c r="AB139" t="s">
        <v>337</v>
      </c>
    </row>
    <row r="140" spans="4:44" ht="15.95">
      <c r="E140" t="s">
        <v>12</v>
      </c>
      <c r="F140" t="e">
        <v>#DIV/0!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  <c r="L140" t="e">
        <v>#DIV/0!</v>
      </c>
      <c r="M140" t="e">
        <v>#DIV/0!</v>
      </c>
      <c r="P140" t="s">
        <v>12</v>
      </c>
      <c r="Q140" s="15" t="e">
        <f t="shared" ref="Q140" si="228">F140/$N$56</f>
        <v>#DIV/0!</v>
      </c>
      <c r="R140" s="15" t="e">
        <f t="shared" ref="R140" si="229">G140/$N$56</f>
        <v>#DIV/0!</v>
      </c>
      <c r="S140" s="15" t="e">
        <f t="shared" ref="S140" si="230">H140/$N$56</f>
        <v>#DIV/0!</v>
      </c>
      <c r="T140" s="15" t="e">
        <f t="shared" ref="T140" si="231">I140/$N$56</f>
        <v>#DIV/0!</v>
      </c>
      <c r="U140" s="15" t="e">
        <f t="shared" ref="U140" si="232">J140/$N$56</f>
        <v>#DIV/0!</v>
      </c>
      <c r="V140" s="15" t="e">
        <f t="shared" ref="V140" si="233">K140/$N$56</f>
        <v>#DIV/0!</v>
      </c>
      <c r="W140" s="15" t="e">
        <f t="shared" ref="W140" si="234">L140/$N$56</f>
        <v>#DIV/0!</v>
      </c>
      <c r="X140" s="15" t="e">
        <f t="shared" ref="X140" si="235">M140/$N$56</f>
        <v>#DIV/0!</v>
      </c>
      <c r="Y140" s="15"/>
      <c r="Z140" s="16">
        <f>SUM(Z138:Z139)</f>
        <v>1</v>
      </c>
      <c r="AA140" t="s">
        <v>344</v>
      </c>
      <c r="AB140" t="s">
        <v>286</v>
      </c>
    </row>
    <row r="141" spans="4:44">
      <c r="N141">
        <f>SUM(N138:N139)</f>
        <v>34</v>
      </c>
      <c r="Y141" s="16">
        <f t="shared" si="189"/>
        <v>1</v>
      </c>
    </row>
    <row r="142" spans="4:44" ht="15.95">
      <c r="D142" t="s">
        <v>26</v>
      </c>
      <c r="E142" s="5" t="s">
        <v>44</v>
      </c>
      <c r="F142" t="s">
        <v>25</v>
      </c>
      <c r="G142" t="s">
        <v>3</v>
      </c>
      <c r="H142" t="s">
        <v>4</v>
      </c>
      <c r="I142" t="s">
        <v>5</v>
      </c>
      <c r="J142" t="s">
        <v>6</v>
      </c>
      <c r="K142" t="s">
        <v>7</v>
      </c>
      <c r="L142" t="s">
        <v>8</v>
      </c>
      <c r="M142" t="s">
        <v>9</v>
      </c>
      <c r="O142" t="s">
        <v>341</v>
      </c>
      <c r="P142" s="5" t="s">
        <v>44</v>
      </c>
      <c r="Q142" t="s">
        <v>25</v>
      </c>
      <c r="R142" s="13" t="s">
        <v>14</v>
      </c>
      <c r="S142" t="s">
        <v>4</v>
      </c>
      <c r="T142" s="13" t="s">
        <v>5</v>
      </c>
      <c r="U142" s="13" t="s">
        <v>6</v>
      </c>
      <c r="V142" s="13" t="s">
        <v>7</v>
      </c>
      <c r="W142" s="13" t="s">
        <v>8</v>
      </c>
      <c r="X142" t="s">
        <v>9</v>
      </c>
    </row>
    <row r="143" spans="4:44" ht="15.95">
      <c r="E143" s="5" t="s">
        <v>10</v>
      </c>
      <c r="F143" t="e">
        <v>#DIV/0!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  <c r="L143" t="e">
        <v>#DIV/0!</v>
      </c>
      <c r="M143" t="e">
        <v>#DIV/0!</v>
      </c>
      <c r="N143" t="e">
        <v>#DIV/0!</v>
      </c>
      <c r="P143" s="5" t="s">
        <v>10</v>
      </c>
      <c r="Q143" s="15" t="e">
        <f t="shared" ref="Q143:Q145" si="236">F143/$N$56</f>
        <v>#DIV/0!</v>
      </c>
      <c r="R143" s="15" t="e">
        <f t="shared" ref="R143:R145" si="237">G143/$N$56</f>
        <v>#DIV/0!</v>
      </c>
      <c r="S143" s="15" t="e">
        <f t="shared" ref="S143:S145" si="238">H143/$N$56</f>
        <v>#DIV/0!</v>
      </c>
      <c r="T143" s="15" t="e">
        <f t="shared" ref="T143:T145" si="239">I143/$N$56</f>
        <v>#DIV/0!</v>
      </c>
      <c r="U143" s="15" t="e">
        <f t="shared" ref="U143:U145" si="240">J143/$N$56</f>
        <v>#DIV/0!</v>
      </c>
      <c r="V143" s="15" t="e">
        <f t="shared" ref="V143:V145" si="241">K143/$N$56</f>
        <v>#DIV/0!</v>
      </c>
      <c r="W143" s="15" t="e">
        <f t="shared" ref="W143:W145" si="242">L143/$N$56</f>
        <v>#DIV/0!</v>
      </c>
      <c r="X143" s="15" t="e">
        <f t="shared" ref="X143:X145" si="243">M143/$N$56</f>
        <v>#DIV/0!</v>
      </c>
      <c r="Y143" s="15" t="e">
        <f t="shared" ref="Y143:Y145" si="244">N143/$N$56</f>
        <v>#DIV/0!</v>
      </c>
    </row>
    <row r="144" spans="4:44" ht="15.95">
      <c r="E144" s="5" t="s">
        <v>11</v>
      </c>
      <c r="F144" t="e">
        <v>#DIV/0!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  <c r="L144" t="e">
        <v>#DIV/0!</v>
      </c>
      <c r="M144" t="e">
        <v>#DIV/0!</v>
      </c>
      <c r="N144" t="e">
        <v>#DIV/0!</v>
      </c>
      <c r="P144" s="5" t="s">
        <v>11</v>
      </c>
      <c r="Q144" s="15" t="e">
        <f t="shared" si="236"/>
        <v>#DIV/0!</v>
      </c>
      <c r="R144" s="15" t="e">
        <f t="shared" si="237"/>
        <v>#DIV/0!</v>
      </c>
      <c r="S144" s="15" t="e">
        <f t="shared" si="238"/>
        <v>#DIV/0!</v>
      </c>
      <c r="T144" s="15" t="e">
        <f t="shared" si="239"/>
        <v>#DIV/0!</v>
      </c>
      <c r="U144" s="15" t="e">
        <f t="shared" si="240"/>
        <v>#DIV/0!</v>
      </c>
      <c r="V144" s="15" t="e">
        <f t="shared" si="241"/>
        <v>#DIV/0!</v>
      </c>
      <c r="W144" s="15" t="e">
        <f t="shared" si="242"/>
        <v>#DIV/0!</v>
      </c>
      <c r="X144" s="15" t="e">
        <f t="shared" si="243"/>
        <v>#DIV/0!</v>
      </c>
      <c r="Y144" s="15" t="e">
        <f t="shared" si="244"/>
        <v>#DIV/0!</v>
      </c>
    </row>
    <row r="145" spans="4:44" ht="15.95">
      <c r="E145" t="s">
        <v>12</v>
      </c>
      <c r="F145" t="e">
        <v>#DIV/0!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  <c r="L145" t="e">
        <v>#DIV/0!</v>
      </c>
      <c r="M145" t="e">
        <v>#DIV/0!</v>
      </c>
      <c r="N145" t="e">
        <v>#DIV/0!</v>
      </c>
      <c r="P145" t="s">
        <v>12</v>
      </c>
      <c r="Q145" s="15" t="e">
        <f t="shared" si="236"/>
        <v>#DIV/0!</v>
      </c>
      <c r="R145" s="15" t="e">
        <f t="shared" si="237"/>
        <v>#DIV/0!</v>
      </c>
      <c r="S145" s="15" t="e">
        <f t="shared" si="238"/>
        <v>#DIV/0!</v>
      </c>
      <c r="T145" s="15" t="e">
        <f t="shared" si="239"/>
        <v>#DIV/0!</v>
      </c>
      <c r="U145" s="15" t="e">
        <f t="shared" si="240"/>
        <v>#DIV/0!</v>
      </c>
      <c r="V145" s="15" t="e">
        <f t="shared" si="241"/>
        <v>#DIV/0!</v>
      </c>
      <c r="W145" s="15" t="e">
        <f t="shared" si="242"/>
        <v>#DIV/0!</v>
      </c>
      <c r="X145" s="15" t="e">
        <f t="shared" si="243"/>
        <v>#DIV/0!</v>
      </c>
      <c r="Y145" s="15" t="e">
        <f t="shared" si="244"/>
        <v>#DIV/0!</v>
      </c>
    </row>
    <row r="146" spans="4:44">
      <c r="N146" t="e">
        <v>#DIV/0!</v>
      </c>
      <c r="Y146" s="16" t="e">
        <f t="shared" si="189"/>
        <v>#DIV/0!</v>
      </c>
      <c r="AA146">
        <v>8</v>
      </c>
      <c r="AB146" t="s">
        <v>501</v>
      </c>
      <c r="AG146">
        <v>5</v>
      </c>
      <c r="AH146" t="s">
        <v>502</v>
      </c>
      <c r="AM146">
        <v>5</v>
      </c>
      <c r="AN146" t="s">
        <v>503</v>
      </c>
    </row>
    <row r="147" spans="4:44" ht="15.95">
      <c r="D147" t="s">
        <v>26</v>
      </c>
      <c r="E147" s="5" t="s">
        <v>45</v>
      </c>
      <c r="F147" t="s">
        <v>25</v>
      </c>
      <c r="G147" t="s">
        <v>3</v>
      </c>
      <c r="H147" t="s">
        <v>4</v>
      </c>
      <c r="I147" t="s">
        <v>5</v>
      </c>
      <c r="J147" t="s">
        <v>6</v>
      </c>
      <c r="K147" t="s">
        <v>7</v>
      </c>
      <c r="L147" t="s">
        <v>8</v>
      </c>
      <c r="M147" t="s">
        <v>9</v>
      </c>
      <c r="O147" t="s">
        <v>341</v>
      </c>
      <c r="P147" s="5" t="s">
        <v>45</v>
      </c>
      <c r="Q147" t="s">
        <v>25</v>
      </c>
      <c r="R147" s="13" t="s">
        <v>14</v>
      </c>
      <c r="S147" t="s">
        <v>4</v>
      </c>
      <c r="T147" s="13" t="s">
        <v>5</v>
      </c>
      <c r="U147" s="13" t="s">
        <v>6</v>
      </c>
      <c r="V147" s="13" t="s">
        <v>7</v>
      </c>
      <c r="W147" s="13" t="s">
        <v>8</v>
      </c>
      <c r="X147" t="s">
        <v>9</v>
      </c>
      <c r="AA147" t="s">
        <v>313</v>
      </c>
      <c r="AB147" s="38" t="s">
        <v>368</v>
      </c>
      <c r="AC147" s="16">
        <f>Q139</f>
        <v>8.8235294117647065E-2</v>
      </c>
      <c r="AD147" s="38" t="s">
        <v>368</v>
      </c>
      <c r="AE147" s="16">
        <f>AC147</f>
        <v>8.8235294117647065E-2</v>
      </c>
      <c r="AF147">
        <f t="shared" ref="AF147:AF153" si="245">AE147*$N$141</f>
        <v>3</v>
      </c>
      <c r="AG147" t="s">
        <v>450</v>
      </c>
      <c r="AH147" s="38" t="s">
        <v>451</v>
      </c>
      <c r="AM147" t="s">
        <v>377</v>
      </c>
      <c r="AN147" s="38" t="s">
        <v>283</v>
      </c>
      <c r="AO147" s="16">
        <f>Q149/2</f>
        <v>6.6666666666666666E-2</v>
      </c>
      <c r="AP147" t="s">
        <v>293</v>
      </c>
      <c r="AQ147" s="16">
        <f>AO148</f>
        <v>0.13333333333333333</v>
      </c>
      <c r="AR147">
        <f>$N$151*AQ147</f>
        <v>2</v>
      </c>
    </row>
    <row r="148" spans="4:44" ht="15.95">
      <c r="E148" s="5" t="s">
        <v>10</v>
      </c>
      <c r="F148">
        <v>6</v>
      </c>
      <c r="G148">
        <v>2</v>
      </c>
      <c r="H148">
        <v>0</v>
      </c>
      <c r="I148">
        <v>3</v>
      </c>
      <c r="J148">
        <v>1</v>
      </c>
      <c r="K148">
        <v>0</v>
      </c>
      <c r="L148">
        <v>1</v>
      </c>
      <c r="M148">
        <v>0</v>
      </c>
      <c r="N148">
        <v>13</v>
      </c>
      <c r="P148" s="5" t="s">
        <v>10</v>
      </c>
      <c r="Q148" s="15">
        <f t="shared" ref="Q148:Y149" si="246">F148/$N$151</f>
        <v>0.4</v>
      </c>
      <c r="R148" s="15">
        <f t="shared" si="246"/>
        <v>0.13333333333333333</v>
      </c>
      <c r="S148" s="15">
        <f t="shared" si="246"/>
        <v>0</v>
      </c>
      <c r="T148" s="15">
        <f t="shared" si="246"/>
        <v>0.2</v>
      </c>
      <c r="U148" s="15">
        <f t="shared" si="246"/>
        <v>6.6666666666666666E-2</v>
      </c>
      <c r="V148" s="15">
        <f t="shared" si="246"/>
        <v>0</v>
      </c>
      <c r="W148" s="15">
        <f t="shared" si="246"/>
        <v>6.6666666666666666E-2</v>
      </c>
      <c r="X148" s="15">
        <f t="shared" si="246"/>
        <v>0</v>
      </c>
      <c r="Y148" s="15">
        <f t="shared" si="246"/>
        <v>0.8666666666666667</v>
      </c>
      <c r="Z148" s="16">
        <f>SUM(Q148:X148)</f>
        <v>0.8666666666666667</v>
      </c>
      <c r="AA148" t="s">
        <v>344</v>
      </c>
      <c r="AB148" t="s">
        <v>321</v>
      </c>
      <c r="AC148">
        <f>Q138/4</f>
        <v>0.15441176470588236</v>
      </c>
      <c r="AD148" t="s">
        <v>321</v>
      </c>
      <c r="AE148" s="16">
        <f t="shared" ref="AE148:AE151" si="247">AC148</f>
        <v>0.15441176470588236</v>
      </c>
      <c r="AF148">
        <f t="shared" si="245"/>
        <v>5.25</v>
      </c>
      <c r="AG148" t="s">
        <v>377</v>
      </c>
      <c r="AH148" s="38" t="s">
        <v>397</v>
      </c>
      <c r="AM148" t="s">
        <v>313</v>
      </c>
      <c r="AN148" t="s">
        <v>293</v>
      </c>
      <c r="AO148" s="16">
        <f>Q149</f>
        <v>0.13333333333333333</v>
      </c>
      <c r="AP148" t="s">
        <v>436</v>
      </c>
      <c r="AQ148" s="16">
        <f>AO149</f>
        <v>0.2</v>
      </c>
      <c r="AR148">
        <f>$N$151*AQ148</f>
        <v>3</v>
      </c>
    </row>
    <row r="149" spans="4:44" ht="15.95">
      <c r="E149" s="5" t="s">
        <v>11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P149" s="5" t="s">
        <v>11</v>
      </c>
      <c r="Q149" s="15">
        <f t="shared" si="246"/>
        <v>0.13333333333333333</v>
      </c>
      <c r="R149" s="15">
        <f t="shared" si="246"/>
        <v>0</v>
      </c>
      <c r="S149" s="15">
        <f t="shared" si="246"/>
        <v>0</v>
      </c>
      <c r="T149" s="15">
        <f t="shared" si="246"/>
        <v>0</v>
      </c>
      <c r="U149" s="15">
        <f t="shared" si="246"/>
        <v>0</v>
      </c>
      <c r="V149" s="15">
        <f t="shared" si="246"/>
        <v>0</v>
      </c>
      <c r="W149" s="15">
        <f t="shared" si="246"/>
        <v>0</v>
      </c>
      <c r="X149" s="15">
        <f t="shared" si="246"/>
        <v>0</v>
      </c>
      <c r="Y149" s="15">
        <f t="shared" si="246"/>
        <v>0.13333333333333333</v>
      </c>
      <c r="Z149" s="16">
        <f>SUM(Q149:X149)</f>
        <v>0.13333333333333333</v>
      </c>
      <c r="AA149" t="s">
        <v>344</v>
      </c>
      <c r="AB149" t="s">
        <v>317</v>
      </c>
      <c r="AC149">
        <f>Q138/4</f>
        <v>0.15441176470588236</v>
      </c>
      <c r="AD149" t="s">
        <v>317</v>
      </c>
      <c r="AE149" s="16">
        <f>AC149+AC152</f>
        <v>0.21323529411764708</v>
      </c>
      <c r="AF149">
        <f t="shared" si="245"/>
        <v>7.2500000000000009</v>
      </c>
      <c r="AG149" t="s">
        <v>323</v>
      </c>
      <c r="AH149" s="38" t="s">
        <v>414</v>
      </c>
      <c r="AM149" t="s">
        <v>323</v>
      </c>
      <c r="AN149" t="s">
        <v>436</v>
      </c>
      <c r="AO149" s="16">
        <f>T148</f>
        <v>0.2</v>
      </c>
      <c r="AP149" s="38" t="s">
        <v>283</v>
      </c>
      <c r="AQ149" s="16">
        <f>AO147+AO150</f>
        <v>0.13333333333333333</v>
      </c>
      <c r="AR149">
        <f>$N$151*AQ149</f>
        <v>2</v>
      </c>
    </row>
    <row r="150" spans="4:44" ht="15.95">
      <c r="E150" t="s">
        <v>12</v>
      </c>
      <c r="F150" t="e">
        <v>#DIV/0!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  <c r="L150" t="e">
        <v>#DIV/0!</v>
      </c>
      <c r="M150" t="e">
        <v>#DIV/0!</v>
      </c>
      <c r="P150" t="s">
        <v>12</v>
      </c>
      <c r="Q150" s="15" t="e">
        <f t="shared" ref="Q150" si="248">F150/$N$56</f>
        <v>#DIV/0!</v>
      </c>
      <c r="R150" s="15" t="e">
        <f t="shared" ref="R150" si="249">G150/$N$56</f>
        <v>#DIV/0!</v>
      </c>
      <c r="S150" s="15" t="e">
        <f t="shared" ref="S150" si="250">H150/$N$56</f>
        <v>#DIV/0!</v>
      </c>
      <c r="T150" s="15" t="e">
        <f t="shared" ref="T150" si="251">I150/$N$56</f>
        <v>#DIV/0!</v>
      </c>
      <c r="U150" s="15" t="e">
        <f t="shared" ref="U150" si="252">J150/$N$56</f>
        <v>#DIV/0!</v>
      </c>
      <c r="V150" s="15" t="e">
        <f t="shared" ref="V150" si="253">K150/$N$56</f>
        <v>#DIV/0!</v>
      </c>
      <c r="W150" s="15" t="e">
        <f t="shared" ref="W150" si="254">L150/$N$56</f>
        <v>#DIV/0!</v>
      </c>
      <c r="X150" s="15" t="e">
        <f t="shared" ref="X150" si="255">M150/$N$56</f>
        <v>#DIV/0!</v>
      </c>
      <c r="Y150" s="15"/>
      <c r="Z150" s="16">
        <f>SUM(Z148:Z149)</f>
        <v>1</v>
      </c>
      <c r="AA150" t="s">
        <v>375</v>
      </c>
      <c r="AB150" t="s">
        <v>379</v>
      </c>
      <c r="AC150">
        <f>R138/2</f>
        <v>5.8823529411764705E-2</v>
      </c>
      <c r="AD150" t="s">
        <v>379</v>
      </c>
      <c r="AE150" s="16">
        <f t="shared" si="247"/>
        <v>5.8823529411764705E-2</v>
      </c>
      <c r="AF150">
        <f t="shared" si="245"/>
        <v>2</v>
      </c>
      <c r="AG150" t="s">
        <v>450</v>
      </c>
      <c r="AH150" t="s">
        <v>455</v>
      </c>
      <c r="AM150" t="s">
        <v>313</v>
      </c>
      <c r="AN150" s="38" t="s">
        <v>283</v>
      </c>
      <c r="AO150">
        <f>Q149/2</f>
        <v>6.6666666666666666E-2</v>
      </c>
      <c r="AP150" s="38" t="s">
        <v>376</v>
      </c>
      <c r="AQ150" s="16">
        <f>AO151</f>
        <v>0.13333333333333333</v>
      </c>
      <c r="AR150">
        <f>$N$151*AQ150</f>
        <v>2</v>
      </c>
    </row>
    <row r="151" spans="4:44">
      <c r="N151">
        <f>SUM(N148:N149)</f>
        <v>15</v>
      </c>
      <c r="Y151" s="16">
        <f t="shared" si="189"/>
        <v>1</v>
      </c>
      <c r="AA151" t="s">
        <v>444</v>
      </c>
      <c r="AB151" s="38" t="s">
        <v>445</v>
      </c>
      <c r="AC151" s="16">
        <f>T138</f>
        <v>2.9411764705882353E-2</v>
      </c>
      <c r="AD151" s="38" t="s">
        <v>445</v>
      </c>
      <c r="AE151" s="16">
        <f t="shared" si="247"/>
        <v>2.9411764705882353E-2</v>
      </c>
      <c r="AF151">
        <f t="shared" si="245"/>
        <v>1</v>
      </c>
      <c r="AG151" t="s">
        <v>313</v>
      </c>
      <c r="AH151" t="s">
        <v>296</v>
      </c>
      <c r="AM151" s="1" t="s">
        <v>375</v>
      </c>
      <c r="AN151" s="38" t="s">
        <v>376</v>
      </c>
      <c r="AO151" s="16">
        <f>R148</f>
        <v>0.13333333333333333</v>
      </c>
      <c r="AR151">
        <f>SUM(AR147:AR150)</f>
        <v>9</v>
      </c>
    </row>
    <row r="152" spans="4:44" ht="15.95">
      <c r="D152" t="s">
        <v>26</v>
      </c>
      <c r="E152" s="5" t="s">
        <v>46</v>
      </c>
      <c r="F152" t="s">
        <v>25</v>
      </c>
      <c r="G152" t="s">
        <v>3</v>
      </c>
      <c r="H152" t="s">
        <v>4</v>
      </c>
      <c r="I152" t="s">
        <v>5</v>
      </c>
      <c r="J152" t="s">
        <v>6</v>
      </c>
      <c r="K152" t="s">
        <v>7</v>
      </c>
      <c r="L152" t="s">
        <v>8</v>
      </c>
      <c r="M152" t="s">
        <v>9</v>
      </c>
      <c r="O152" t="s">
        <v>341</v>
      </c>
      <c r="P152" s="5" t="s">
        <v>46</v>
      </c>
      <c r="Q152" t="s">
        <v>25</v>
      </c>
      <c r="R152" s="13" t="s">
        <v>14</v>
      </c>
      <c r="S152" t="s">
        <v>4</v>
      </c>
      <c r="T152" s="13" t="s">
        <v>5</v>
      </c>
      <c r="U152" s="13" t="s">
        <v>6</v>
      </c>
      <c r="V152" s="13" t="s">
        <v>7</v>
      </c>
      <c r="W152" s="13" t="s">
        <v>8</v>
      </c>
      <c r="X152" t="s">
        <v>9</v>
      </c>
      <c r="AA152" t="s">
        <v>375</v>
      </c>
      <c r="AB152" t="s">
        <v>317</v>
      </c>
      <c r="AC152">
        <f>R138/2</f>
        <v>5.8823529411764705E-2</v>
      </c>
      <c r="AD152" t="s">
        <v>437</v>
      </c>
      <c r="AE152" s="16">
        <f>AC153</f>
        <v>0.15441176470588236</v>
      </c>
      <c r="AF152">
        <f t="shared" si="245"/>
        <v>5.25</v>
      </c>
    </row>
    <row r="153" spans="4:44" ht="15.95">
      <c r="E153" s="5" t="s">
        <v>10</v>
      </c>
      <c r="F153">
        <v>11</v>
      </c>
      <c r="G153">
        <v>3</v>
      </c>
      <c r="H153">
        <v>0</v>
      </c>
      <c r="I153">
        <v>2</v>
      </c>
      <c r="J153">
        <v>1</v>
      </c>
      <c r="K153">
        <v>0</v>
      </c>
      <c r="L153">
        <v>2</v>
      </c>
      <c r="M153">
        <v>0</v>
      </c>
      <c r="N153">
        <v>19</v>
      </c>
      <c r="P153" s="5" t="s">
        <v>10</v>
      </c>
      <c r="Q153" s="15">
        <f t="shared" ref="Q153:Y154" si="256">F153/$N$156</f>
        <v>0.55000000000000004</v>
      </c>
      <c r="R153" s="15">
        <f t="shared" si="256"/>
        <v>0.15</v>
      </c>
      <c r="S153" s="15">
        <f t="shared" si="256"/>
        <v>0</v>
      </c>
      <c r="T153" s="15">
        <f t="shared" si="256"/>
        <v>0.1</v>
      </c>
      <c r="U153" s="15">
        <f t="shared" si="256"/>
        <v>0.05</v>
      </c>
      <c r="V153" s="15">
        <f t="shared" si="256"/>
        <v>0</v>
      </c>
      <c r="W153" s="15">
        <f t="shared" si="256"/>
        <v>0.1</v>
      </c>
      <c r="X153" s="15">
        <f t="shared" si="256"/>
        <v>0</v>
      </c>
      <c r="Y153" s="15">
        <f t="shared" si="256"/>
        <v>0.95</v>
      </c>
      <c r="Z153" s="16">
        <f>SUM(Q153:X153)</f>
        <v>0.95000000000000007</v>
      </c>
      <c r="AA153" t="s">
        <v>344</v>
      </c>
      <c r="AB153" t="s">
        <v>437</v>
      </c>
      <c r="AC153">
        <f>Q138/4</f>
        <v>0.15441176470588236</v>
      </c>
      <c r="AD153" s="38" t="s">
        <v>440</v>
      </c>
      <c r="AE153" s="16">
        <f>AC154</f>
        <v>0.15441176470588236</v>
      </c>
      <c r="AF153">
        <f t="shared" si="245"/>
        <v>5.25</v>
      </c>
    </row>
    <row r="154" spans="4:44" ht="15.95">
      <c r="E154" s="5" t="s">
        <v>11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P154" s="5" t="s">
        <v>11</v>
      </c>
      <c r="Q154" s="15">
        <f t="shared" si="256"/>
        <v>0.05</v>
      </c>
      <c r="R154" s="15">
        <f t="shared" si="256"/>
        <v>0</v>
      </c>
      <c r="S154" s="15">
        <f t="shared" si="256"/>
        <v>0</v>
      </c>
      <c r="T154" s="15">
        <f t="shared" si="256"/>
        <v>0</v>
      </c>
      <c r="U154" s="15">
        <f t="shared" si="256"/>
        <v>0</v>
      </c>
      <c r="V154" s="15">
        <f t="shared" si="256"/>
        <v>0</v>
      </c>
      <c r="W154" s="15">
        <f t="shared" si="256"/>
        <v>0</v>
      </c>
      <c r="X154" s="15">
        <f t="shared" si="256"/>
        <v>0</v>
      </c>
      <c r="Y154" s="15">
        <f t="shared" si="256"/>
        <v>0.05</v>
      </c>
      <c r="Z154" s="16">
        <f>SUM(Q154:X154)</f>
        <v>0.05</v>
      </c>
      <c r="AA154" t="s">
        <v>344</v>
      </c>
      <c r="AB154" s="38" t="s">
        <v>440</v>
      </c>
      <c r="AC154">
        <f>Q138/4</f>
        <v>0.15441176470588236</v>
      </c>
      <c r="AF154">
        <f>SUM(AF147:AF153)</f>
        <v>29</v>
      </c>
    </row>
    <row r="155" spans="4:44" ht="15.95">
      <c r="E155" t="s">
        <v>12</v>
      </c>
      <c r="F155" t="e">
        <v>#DIV/0!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  <c r="L155" t="e">
        <v>#DIV/0!</v>
      </c>
      <c r="M155" t="e">
        <v>#DIV/0!</v>
      </c>
      <c r="P155" t="s">
        <v>12</v>
      </c>
      <c r="Q155" s="15" t="e">
        <f t="shared" ref="Q155" si="257">F155/$N$56</f>
        <v>#DIV/0!</v>
      </c>
      <c r="R155" s="15" t="e">
        <f t="shared" ref="R155" si="258">G155/$N$56</f>
        <v>#DIV/0!</v>
      </c>
      <c r="S155" s="15" t="e">
        <f t="shared" ref="S155" si="259">H155/$N$56</f>
        <v>#DIV/0!</v>
      </c>
      <c r="T155" s="15" t="e">
        <f t="shared" ref="T155" si="260">I155/$N$56</f>
        <v>#DIV/0!</v>
      </c>
      <c r="U155" s="15" t="e">
        <f t="shared" ref="U155" si="261">J155/$N$56</f>
        <v>#DIV/0!</v>
      </c>
      <c r="V155" s="15" t="e">
        <f t="shared" ref="V155" si="262">K155/$N$56</f>
        <v>#DIV/0!</v>
      </c>
      <c r="W155" s="15" t="e">
        <f t="shared" ref="W155" si="263">L155/$N$56</f>
        <v>#DIV/0!</v>
      </c>
      <c r="X155" s="15" t="e">
        <f t="shared" ref="X155" si="264">M155/$N$56</f>
        <v>#DIV/0!</v>
      </c>
      <c r="Y155" s="15"/>
      <c r="Z155" s="16">
        <f>SUM(Z153:Z154)</f>
        <v>1</v>
      </c>
      <c r="AC155" s="16">
        <f>SUM(AC147:AC154)</f>
        <v>0.85294117647058831</v>
      </c>
    </row>
    <row r="156" spans="4:44">
      <c r="N156">
        <f>SUM(N153:N154)</f>
        <v>20</v>
      </c>
      <c r="Y156" s="16">
        <f t="shared" si="189"/>
        <v>1</v>
      </c>
      <c r="Z156" s="16"/>
    </row>
    <row r="157" spans="4:44" ht="15.95">
      <c r="D157" t="s">
        <v>26</v>
      </c>
      <c r="E157" s="5" t="s">
        <v>47</v>
      </c>
      <c r="F157" t="s">
        <v>25</v>
      </c>
      <c r="G157" t="s">
        <v>3</v>
      </c>
      <c r="H157" t="s">
        <v>4</v>
      </c>
      <c r="I157" t="s">
        <v>5</v>
      </c>
      <c r="J157" t="s">
        <v>6</v>
      </c>
      <c r="K157" t="s">
        <v>7</v>
      </c>
      <c r="L157" t="s">
        <v>8</v>
      </c>
      <c r="M157" t="s">
        <v>9</v>
      </c>
      <c r="O157" t="s">
        <v>341</v>
      </c>
      <c r="P157" s="5" t="s">
        <v>47</v>
      </c>
      <c r="Q157" t="s">
        <v>25</v>
      </c>
      <c r="R157" s="13" t="s">
        <v>14</v>
      </c>
      <c r="S157" t="s">
        <v>4</v>
      </c>
      <c r="T157" s="13" t="s">
        <v>5</v>
      </c>
      <c r="U157" s="13" t="s">
        <v>6</v>
      </c>
      <c r="V157" s="13" t="s">
        <v>7</v>
      </c>
      <c r="W157" s="13" t="s">
        <v>8</v>
      </c>
      <c r="X157" t="s">
        <v>9</v>
      </c>
    </row>
    <row r="158" spans="4:44" ht="15.95">
      <c r="E158" s="5" t="s">
        <v>10</v>
      </c>
      <c r="F158">
        <v>4.5</v>
      </c>
      <c r="G158">
        <v>0.5</v>
      </c>
      <c r="H158">
        <v>0.5</v>
      </c>
      <c r="I158">
        <v>0</v>
      </c>
      <c r="J158">
        <v>0.5</v>
      </c>
      <c r="K158">
        <v>0</v>
      </c>
      <c r="L158">
        <v>0</v>
      </c>
      <c r="M158">
        <v>0</v>
      </c>
      <c r="N158">
        <v>6</v>
      </c>
      <c r="P158" s="5" t="s">
        <v>10</v>
      </c>
      <c r="Q158" s="15">
        <f t="shared" ref="Q158:Y159" si="265">F158/$N$161</f>
        <v>0.6428571428571429</v>
      </c>
      <c r="R158" s="15">
        <f t="shared" si="265"/>
        <v>7.1428571428571425E-2</v>
      </c>
      <c r="S158" s="15">
        <f t="shared" si="265"/>
        <v>7.1428571428571425E-2</v>
      </c>
      <c r="T158" s="15">
        <f t="shared" si="265"/>
        <v>0</v>
      </c>
      <c r="U158" s="15">
        <f t="shared" si="265"/>
        <v>7.1428571428571425E-2</v>
      </c>
      <c r="V158" s="15">
        <f t="shared" si="265"/>
        <v>0</v>
      </c>
      <c r="W158" s="15">
        <f t="shared" si="265"/>
        <v>0</v>
      </c>
      <c r="X158" s="15">
        <f t="shared" si="265"/>
        <v>0</v>
      </c>
      <c r="Y158" s="15">
        <f t="shared" si="265"/>
        <v>0.8571428571428571</v>
      </c>
      <c r="Z158" s="16">
        <f>SUM(Q158:X158)</f>
        <v>0.8571428571428571</v>
      </c>
    </row>
    <row r="159" spans="4:44" ht="15.95">
      <c r="E159" s="5" t="s">
        <v>11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P159" s="5" t="s">
        <v>11</v>
      </c>
      <c r="Q159" s="15">
        <f t="shared" si="265"/>
        <v>0</v>
      </c>
      <c r="R159" s="15">
        <f t="shared" si="265"/>
        <v>0.14285714285714285</v>
      </c>
      <c r="S159" s="15">
        <f t="shared" si="265"/>
        <v>0</v>
      </c>
      <c r="T159" s="15">
        <f t="shared" si="265"/>
        <v>0</v>
      </c>
      <c r="U159" s="15">
        <f t="shared" si="265"/>
        <v>0</v>
      </c>
      <c r="V159" s="15">
        <f t="shared" si="265"/>
        <v>0</v>
      </c>
      <c r="W159" s="15">
        <f t="shared" si="265"/>
        <v>0</v>
      </c>
      <c r="X159" s="15">
        <f t="shared" si="265"/>
        <v>0</v>
      </c>
      <c r="Y159" s="15">
        <f t="shared" si="265"/>
        <v>0.14285714285714285</v>
      </c>
      <c r="Z159" s="16">
        <f>SUM(Q159:X159)</f>
        <v>0.14285714285714285</v>
      </c>
      <c r="AA159">
        <v>6</v>
      </c>
      <c r="AB159" t="s">
        <v>504</v>
      </c>
      <c r="AG159">
        <v>3</v>
      </c>
      <c r="AH159" t="s">
        <v>505</v>
      </c>
      <c r="AM159">
        <v>7</v>
      </c>
      <c r="AN159" t="s">
        <v>506</v>
      </c>
    </row>
    <row r="160" spans="4:44" ht="15.95">
      <c r="E160" t="s">
        <v>12</v>
      </c>
      <c r="F160" t="e">
        <v>#DIV/0!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  <c r="L160" t="e">
        <v>#DIV/0!</v>
      </c>
      <c r="M160" t="e">
        <v>#DIV/0!</v>
      </c>
      <c r="P160" t="s">
        <v>12</v>
      </c>
      <c r="Q160" s="15" t="e">
        <f t="shared" ref="Q160" si="266">F160/$N$56</f>
        <v>#DIV/0!</v>
      </c>
      <c r="R160" s="15" t="e">
        <f t="shared" ref="R160" si="267">G160/$N$56</f>
        <v>#DIV/0!</v>
      </c>
      <c r="S160" s="15" t="e">
        <f t="shared" ref="S160" si="268">H160/$N$56</f>
        <v>#DIV/0!</v>
      </c>
      <c r="T160" s="15" t="e">
        <f t="shared" ref="T160" si="269">I160/$N$56</f>
        <v>#DIV/0!</v>
      </c>
      <c r="U160" s="15" t="e">
        <f t="shared" ref="U160" si="270">J160/$N$56</f>
        <v>#DIV/0!</v>
      </c>
      <c r="V160" s="15" t="e">
        <f t="shared" ref="V160" si="271">K160/$N$56</f>
        <v>#DIV/0!</v>
      </c>
      <c r="W160" s="15" t="e">
        <f t="shared" ref="W160" si="272">L160/$N$56</f>
        <v>#DIV/0!</v>
      </c>
      <c r="X160" s="15" t="e">
        <f t="shared" ref="X160" si="273">M160/$N$56</f>
        <v>#DIV/0!</v>
      </c>
      <c r="Y160" s="15"/>
      <c r="Z160" s="16">
        <f>SUM(Z158:Z159)</f>
        <v>1</v>
      </c>
      <c r="AA160" t="s">
        <v>377</v>
      </c>
      <c r="AB160" t="s">
        <v>380</v>
      </c>
      <c r="AC160" s="16">
        <f>W153</f>
        <v>0.1</v>
      </c>
      <c r="AD160" t="s">
        <v>343</v>
      </c>
      <c r="AE160">
        <f>AC161</f>
        <v>7.4999999999999997E-2</v>
      </c>
      <c r="AF160">
        <f>AE160*$N$156</f>
        <v>1.5</v>
      </c>
      <c r="AG160" t="s">
        <v>456</v>
      </c>
      <c r="AH160" t="s">
        <v>283</v>
      </c>
      <c r="AI160">
        <f>Q158/2</f>
        <v>0.32142857142857145</v>
      </c>
      <c r="AJ160" t="s">
        <v>283</v>
      </c>
      <c r="AK160">
        <f>AI160+AI162</f>
        <v>0.6428571428571429</v>
      </c>
      <c r="AL160">
        <f>AK160*$N$161</f>
        <v>4.5</v>
      </c>
      <c r="AM160" t="s">
        <v>378</v>
      </c>
      <c r="AN160" t="s">
        <v>286</v>
      </c>
      <c r="AO160">
        <f>Q163/2</f>
        <v>0.28260869565217389</v>
      </c>
      <c r="AP160" t="s">
        <v>286</v>
      </c>
      <c r="AQ160">
        <f>AO160+AO163</f>
        <v>0.28804347826086957</v>
      </c>
      <c r="AR160">
        <f>AQ160*$N$166</f>
        <v>13.25</v>
      </c>
    </row>
    <row r="161" spans="4:44">
      <c r="N161">
        <f>SUM(N158:N159)</f>
        <v>7</v>
      </c>
      <c r="Y161" s="16">
        <f t="shared" si="189"/>
        <v>1</v>
      </c>
      <c r="AA161" t="s">
        <v>386</v>
      </c>
      <c r="AB161" t="s">
        <v>343</v>
      </c>
      <c r="AC161">
        <f>R153/2</f>
        <v>7.4999999999999997E-2</v>
      </c>
      <c r="AD161" t="s">
        <v>286</v>
      </c>
      <c r="AE161">
        <f>AC162</f>
        <v>0.27500000000000002</v>
      </c>
      <c r="AF161">
        <f>AE161*$N$156</f>
        <v>5.5</v>
      </c>
      <c r="AG161" t="s">
        <v>457</v>
      </c>
      <c r="AH161" t="s">
        <v>343</v>
      </c>
      <c r="AI161" s="16">
        <f>S158</f>
        <v>7.1428571428571425E-2</v>
      </c>
      <c r="AJ161" t="s">
        <v>343</v>
      </c>
      <c r="AK161" s="16">
        <f>AI161</f>
        <v>7.1428571428571425E-2</v>
      </c>
      <c r="AL161">
        <f>AK161*$N$161</f>
        <v>0.5</v>
      </c>
      <c r="AM161" t="s">
        <v>383</v>
      </c>
      <c r="AN161" t="s">
        <v>369</v>
      </c>
      <c r="AO161">
        <f>Q163/2</f>
        <v>0.28260869565217389</v>
      </c>
      <c r="AP161" t="s">
        <v>369</v>
      </c>
      <c r="AQ161">
        <f>AO161</f>
        <v>0.28260869565217389</v>
      </c>
      <c r="AR161">
        <f t="shared" ref="AR161:AR165" si="274">AQ161*$N$166</f>
        <v>12.999999999999998</v>
      </c>
    </row>
    <row r="162" spans="4:44" ht="15.95">
      <c r="D162" t="s">
        <v>26</v>
      </c>
      <c r="E162" s="5" t="s">
        <v>48</v>
      </c>
      <c r="F162" t="s">
        <v>25</v>
      </c>
      <c r="G162" t="s">
        <v>3</v>
      </c>
      <c r="H162" t="s">
        <v>4</v>
      </c>
      <c r="I162" t="s">
        <v>5</v>
      </c>
      <c r="J162" t="s">
        <v>6</v>
      </c>
      <c r="K162" t="s">
        <v>7</v>
      </c>
      <c r="L162" t="s">
        <v>8</v>
      </c>
      <c r="M162" t="s">
        <v>9</v>
      </c>
      <c r="O162" t="s">
        <v>341</v>
      </c>
      <c r="P162" s="5" t="s">
        <v>48</v>
      </c>
      <c r="Q162" t="s">
        <v>25</v>
      </c>
      <c r="R162" s="13" t="s">
        <v>14</v>
      </c>
      <c r="S162" t="s">
        <v>4</v>
      </c>
      <c r="T162" s="13" t="s">
        <v>5</v>
      </c>
      <c r="U162" s="13" t="s">
        <v>6</v>
      </c>
      <c r="V162" s="13" t="s">
        <v>7</v>
      </c>
      <c r="W162" s="13" t="s">
        <v>8</v>
      </c>
      <c r="X162" t="s">
        <v>9</v>
      </c>
      <c r="AA162" t="s">
        <v>385</v>
      </c>
      <c r="AB162" t="s">
        <v>286</v>
      </c>
      <c r="AC162">
        <f>Q153/2</f>
        <v>0.27500000000000002</v>
      </c>
      <c r="AD162" t="s">
        <v>293</v>
      </c>
      <c r="AE162" s="16">
        <f>AC163</f>
        <v>0.05</v>
      </c>
      <c r="AF162">
        <f>AE162*$N$156</f>
        <v>1</v>
      </c>
      <c r="AG162" t="s">
        <v>458</v>
      </c>
      <c r="AH162" t="s">
        <v>283</v>
      </c>
      <c r="AI162">
        <f>Q158/2</f>
        <v>0.32142857142857145</v>
      </c>
      <c r="AM162" t="s">
        <v>406</v>
      </c>
      <c r="AN162" t="s">
        <v>407</v>
      </c>
      <c r="AO162">
        <f>R163/3</f>
        <v>1.8115942028985508E-2</v>
      </c>
      <c r="AP162" t="s">
        <v>407</v>
      </c>
      <c r="AQ162">
        <f>AO162</f>
        <v>1.8115942028985508E-2</v>
      </c>
      <c r="AR162">
        <f t="shared" si="274"/>
        <v>0.83333333333333337</v>
      </c>
    </row>
    <row r="163" spans="4:44" ht="15.95">
      <c r="E163" s="5" t="s">
        <v>10</v>
      </c>
      <c r="F163">
        <v>26</v>
      </c>
      <c r="G163">
        <v>2.5</v>
      </c>
      <c r="H163">
        <v>0</v>
      </c>
      <c r="I163">
        <v>0.5</v>
      </c>
      <c r="J163">
        <v>0</v>
      </c>
      <c r="K163">
        <v>0</v>
      </c>
      <c r="L163">
        <v>1</v>
      </c>
      <c r="M163">
        <v>0</v>
      </c>
      <c r="N163">
        <v>30</v>
      </c>
      <c r="P163" s="5" t="s">
        <v>10</v>
      </c>
      <c r="Q163" s="15">
        <f>F163/$N$166</f>
        <v>0.56521739130434778</v>
      </c>
      <c r="R163" s="15">
        <f t="shared" ref="R163:X165" si="275">G163/$N$166</f>
        <v>5.434782608695652E-2</v>
      </c>
      <c r="S163" s="15">
        <f t="shared" si="275"/>
        <v>0</v>
      </c>
      <c r="T163" s="15">
        <f t="shared" si="275"/>
        <v>1.0869565217391304E-2</v>
      </c>
      <c r="U163" s="15">
        <f t="shared" si="275"/>
        <v>0</v>
      </c>
      <c r="V163" s="15">
        <f t="shared" si="275"/>
        <v>0</v>
      </c>
      <c r="W163" s="49">
        <f t="shared" si="275"/>
        <v>2.1739130434782608E-2</v>
      </c>
      <c r="X163" s="15">
        <f t="shared" si="275"/>
        <v>0</v>
      </c>
      <c r="Y163" s="15">
        <f>N163/$N$166</f>
        <v>0.65217391304347827</v>
      </c>
      <c r="Z163" s="16">
        <f>SUM(Q163:X163)</f>
        <v>0.65217391304347827</v>
      </c>
      <c r="AA163" t="s">
        <v>357</v>
      </c>
      <c r="AB163" t="s">
        <v>293</v>
      </c>
      <c r="AC163" s="16">
        <f>Q154</f>
        <v>0.05</v>
      </c>
      <c r="AD163" t="s">
        <v>391</v>
      </c>
      <c r="AE163" s="16">
        <f>AC160+AC164</f>
        <v>0.17499999999999999</v>
      </c>
      <c r="AF163">
        <f>AE163*$N$156</f>
        <v>3.5</v>
      </c>
      <c r="AI163" s="16">
        <f>AI160+AI161+AI162</f>
        <v>0.71428571428571441</v>
      </c>
      <c r="AM163" t="s">
        <v>448</v>
      </c>
      <c r="AN163" t="s">
        <v>286</v>
      </c>
      <c r="AO163">
        <f>T163/2</f>
        <v>5.434782608695652E-3</v>
      </c>
      <c r="AP163" t="s">
        <v>396</v>
      </c>
      <c r="AQ163">
        <f>AO164+AO166</f>
        <v>2.355072463768116E-2</v>
      </c>
      <c r="AR163">
        <f t="shared" si="274"/>
        <v>1.0833333333333333</v>
      </c>
    </row>
    <row r="164" spans="4:44" ht="15.95">
      <c r="E164" s="5" t="s">
        <v>11</v>
      </c>
      <c r="F164">
        <v>14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</v>
      </c>
      <c r="P164" s="5" t="s">
        <v>11</v>
      </c>
      <c r="Q164" s="49">
        <f t="shared" ref="Q164:Q165" si="276">F164/$N$166</f>
        <v>0.30434782608695654</v>
      </c>
      <c r="R164" s="49">
        <f t="shared" si="275"/>
        <v>2.1739130434782608E-2</v>
      </c>
      <c r="S164" s="15">
        <f t="shared" si="275"/>
        <v>0</v>
      </c>
      <c r="T164" s="15">
        <f t="shared" si="275"/>
        <v>0</v>
      </c>
      <c r="U164" s="15">
        <f t="shared" si="275"/>
        <v>0</v>
      </c>
      <c r="V164" s="15">
        <f t="shared" si="275"/>
        <v>0</v>
      </c>
      <c r="W164" s="15">
        <f t="shared" si="275"/>
        <v>0</v>
      </c>
      <c r="X164" s="15">
        <f t="shared" si="275"/>
        <v>0</v>
      </c>
      <c r="Y164" s="15">
        <f>N164/$N$166</f>
        <v>0.32608695652173914</v>
      </c>
      <c r="Z164" s="16">
        <f t="shared" ref="Z164" si="277">SUM(Q164:X164)</f>
        <v>0.32608695652173914</v>
      </c>
      <c r="AA164" t="s">
        <v>390</v>
      </c>
      <c r="AB164" t="s">
        <v>391</v>
      </c>
      <c r="AC164">
        <f>R153/2</f>
        <v>7.4999999999999997E-2</v>
      </c>
      <c r="AD164" t="s">
        <v>314</v>
      </c>
      <c r="AE164">
        <f>AC165</f>
        <v>0.27500000000000002</v>
      </c>
      <c r="AF164">
        <f>AE164*$N$156</f>
        <v>5.5</v>
      </c>
      <c r="AM164" t="s">
        <v>395</v>
      </c>
      <c r="AN164" t="s">
        <v>396</v>
      </c>
      <c r="AO164">
        <f>R163/3</f>
        <v>1.8115942028985508E-2</v>
      </c>
      <c r="AP164" t="s">
        <v>400</v>
      </c>
      <c r="AQ164">
        <f>AO165</f>
        <v>1.8115942028985508E-2</v>
      </c>
      <c r="AR164">
        <f t="shared" si="274"/>
        <v>0.83333333333333337</v>
      </c>
    </row>
    <row r="165" spans="4:44" ht="15.95">
      <c r="E165" t="s">
        <v>12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P165" t="s">
        <v>12</v>
      </c>
      <c r="Q165" s="49">
        <f t="shared" si="276"/>
        <v>2.1739130434782608E-2</v>
      </c>
      <c r="R165" s="15">
        <f t="shared" si="275"/>
        <v>0</v>
      </c>
      <c r="S165" s="15">
        <f t="shared" si="275"/>
        <v>0</v>
      </c>
      <c r="T165" s="15">
        <f t="shared" si="275"/>
        <v>0</v>
      </c>
      <c r="U165" s="15">
        <f t="shared" si="275"/>
        <v>0</v>
      </c>
      <c r="V165" s="15">
        <f t="shared" si="275"/>
        <v>0</v>
      </c>
      <c r="W165" s="15">
        <f t="shared" si="275"/>
        <v>0</v>
      </c>
      <c r="X165" s="15">
        <f t="shared" si="275"/>
        <v>0</v>
      </c>
      <c r="Y165" s="15">
        <f>N165/$N$166</f>
        <v>2.1739130434782608E-2</v>
      </c>
      <c r="Z165" s="16">
        <f>SUM(Q165:X165)</f>
        <v>2.1739130434782608E-2</v>
      </c>
      <c r="AA165" t="s">
        <v>374</v>
      </c>
      <c r="AB165" t="s">
        <v>314</v>
      </c>
      <c r="AC165">
        <f>Q153/2</f>
        <v>0.27500000000000002</v>
      </c>
      <c r="AF165">
        <f>SUM(AF160:AF164)</f>
        <v>17</v>
      </c>
      <c r="AM165" t="s">
        <v>401</v>
      </c>
      <c r="AN165" t="s">
        <v>400</v>
      </c>
      <c r="AO165">
        <f>R163/3</f>
        <v>1.8115942028985508E-2</v>
      </c>
      <c r="AQ165">
        <f>SUM(AQ160:AQ164)</f>
        <v>0.63043478260869557</v>
      </c>
      <c r="AR165">
        <f t="shared" si="274"/>
        <v>28.999999999999996</v>
      </c>
    </row>
    <row r="166" spans="4:44">
      <c r="N166">
        <v>46</v>
      </c>
      <c r="Y166" s="16">
        <f t="shared" si="179"/>
        <v>1</v>
      </c>
      <c r="Z166" s="16">
        <f>SUM(Z163:Z165)</f>
        <v>1</v>
      </c>
      <c r="AC166">
        <f>SUM(AC159:AC165)</f>
        <v>0.85</v>
      </c>
      <c r="AM166" t="s">
        <v>452</v>
      </c>
      <c r="AN166" t="s">
        <v>396</v>
      </c>
      <c r="AO166">
        <f>T163/2</f>
        <v>5.434782608695652E-3</v>
      </c>
    </row>
    <row r="167" spans="4:44" ht="15.95">
      <c r="D167" t="s">
        <v>26</v>
      </c>
      <c r="E167" s="5" t="s">
        <v>49</v>
      </c>
      <c r="F167" t="s">
        <v>25</v>
      </c>
      <c r="G167" t="s">
        <v>3</v>
      </c>
      <c r="H167" t="s">
        <v>4</v>
      </c>
      <c r="I167" t="s">
        <v>5</v>
      </c>
      <c r="J167" t="s">
        <v>6</v>
      </c>
      <c r="K167" t="s">
        <v>7</v>
      </c>
      <c r="L167" t="s">
        <v>8</v>
      </c>
      <c r="M167" t="s">
        <v>9</v>
      </c>
      <c r="O167" t="s">
        <v>341</v>
      </c>
      <c r="P167" s="5" t="s">
        <v>49</v>
      </c>
      <c r="Q167" t="s">
        <v>25</v>
      </c>
      <c r="R167" s="13" t="s">
        <v>14</v>
      </c>
      <c r="S167" t="s">
        <v>4</v>
      </c>
      <c r="T167" s="13" t="s">
        <v>5</v>
      </c>
      <c r="U167" s="13" t="s">
        <v>6</v>
      </c>
      <c r="V167" s="13" t="s">
        <v>7</v>
      </c>
      <c r="W167" s="13" t="s">
        <v>8</v>
      </c>
      <c r="X167" t="s">
        <v>9</v>
      </c>
      <c r="AO167">
        <f>SUM(AO160:AO166)</f>
        <v>0.63043478260869557</v>
      </c>
    </row>
    <row r="168" spans="4:44" ht="15.95">
      <c r="E168" s="5" t="s">
        <v>10</v>
      </c>
      <c r="F168">
        <v>18</v>
      </c>
      <c r="G168">
        <v>5.666666666666667</v>
      </c>
      <c r="H168">
        <v>0.66666666666666663</v>
      </c>
      <c r="I168">
        <v>3</v>
      </c>
      <c r="J168">
        <v>1</v>
      </c>
      <c r="K168">
        <v>0.33333333333333331</v>
      </c>
      <c r="L168">
        <v>0.33333333333333331</v>
      </c>
      <c r="M168">
        <v>0</v>
      </c>
      <c r="N168">
        <v>29</v>
      </c>
      <c r="P168" s="5" t="s">
        <v>10</v>
      </c>
      <c r="Q168" s="15">
        <f>F168/$N$171</f>
        <v>0.47368421052631587</v>
      </c>
      <c r="R168" s="15">
        <f t="shared" ref="R168:X170" si="278">G168/$N$171</f>
        <v>0.14912280701754391</v>
      </c>
      <c r="S168" s="15">
        <f t="shared" si="278"/>
        <v>1.754385964912281E-2</v>
      </c>
      <c r="T168" s="15">
        <f t="shared" si="278"/>
        <v>7.8947368421052641E-2</v>
      </c>
      <c r="U168" s="15">
        <f t="shared" si="278"/>
        <v>2.6315789473684216E-2</v>
      </c>
      <c r="V168" s="15">
        <f t="shared" si="278"/>
        <v>8.7719298245614048E-3</v>
      </c>
      <c r="W168" s="15">
        <f t="shared" si="278"/>
        <v>8.7719298245614048E-3</v>
      </c>
      <c r="X168" s="15">
        <f t="shared" si="278"/>
        <v>0</v>
      </c>
      <c r="Y168" s="15">
        <f>N168/$N$171</f>
        <v>0.76315789473684226</v>
      </c>
      <c r="Z168" s="16">
        <f>SUM(Q168:X168)</f>
        <v>0.76315789473684237</v>
      </c>
    </row>
    <row r="169" spans="4:44" ht="15.95">
      <c r="E169" s="5" t="s">
        <v>11</v>
      </c>
      <c r="F169">
        <v>6</v>
      </c>
      <c r="G169">
        <v>1.3333333333333333</v>
      </c>
      <c r="H169">
        <v>0.33333333333333331</v>
      </c>
      <c r="I169">
        <v>0.33333333333333331</v>
      </c>
      <c r="J169">
        <v>0.33333333333333331</v>
      </c>
      <c r="K169">
        <v>0</v>
      </c>
      <c r="L169">
        <v>0</v>
      </c>
      <c r="M169">
        <v>0</v>
      </c>
      <c r="N169">
        <v>8.3333333333333321</v>
      </c>
      <c r="P169" s="5" t="s">
        <v>11</v>
      </c>
      <c r="Q169" s="15">
        <f t="shared" ref="Q169:Q170" si="279">F169/$N$171</f>
        <v>0.15789473684210528</v>
      </c>
      <c r="R169" s="15">
        <f t="shared" si="278"/>
        <v>3.5087719298245619E-2</v>
      </c>
      <c r="S169" s="15">
        <f t="shared" si="278"/>
        <v>8.7719298245614048E-3</v>
      </c>
      <c r="T169" s="15">
        <f t="shared" si="278"/>
        <v>8.7719298245614048E-3</v>
      </c>
      <c r="U169" s="15">
        <f t="shared" si="278"/>
        <v>8.7719298245614048E-3</v>
      </c>
      <c r="V169" s="15">
        <f t="shared" si="278"/>
        <v>0</v>
      </c>
      <c r="W169" s="15">
        <f t="shared" si="278"/>
        <v>0</v>
      </c>
      <c r="X169" s="15">
        <f t="shared" si="278"/>
        <v>0</v>
      </c>
      <c r="Y169" s="15">
        <f>N169/$N$171</f>
        <v>0.2192982456140351</v>
      </c>
      <c r="Z169" s="16">
        <f t="shared" ref="Z169" si="280">SUM(Q169:X169)</f>
        <v>0.2192982456140351</v>
      </c>
    </row>
    <row r="170" spans="4:44" ht="15.95">
      <c r="E170" t="s">
        <v>12</v>
      </c>
      <c r="F170">
        <v>0.33333333333333331</v>
      </c>
      <c r="G170">
        <v>0</v>
      </c>
      <c r="H170">
        <v>0</v>
      </c>
      <c r="I170">
        <v>0</v>
      </c>
      <c r="J170">
        <v>0.33333333333333331</v>
      </c>
      <c r="K170">
        <v>0</v>
      </c>
      <c r="L170">
        <v>0</v>
      </c>
      <c r="M170">
        <v>0</v>
      </c>
      <c r="N170">
        <v>0.66666666666666663</v>
      </c>
      <c r="P170" t="s">
        <v>12</v>
      </c>
      <c r="Q170" s="15">
        <f t="shared" si="279"/>
        <v>8.7719298245614048E-3</v>
      </c>
      <c r="R170" s="15">
        <f t="shared" si="278"/>
        <v>0</v>
      </c>
      <c r="S170" s="15">
        <f t="shared" si="278"/>
        <v>0</v>
      </c>
      <c r="T170" s="15">
        <f t="shared" si="278"/>
        <v>0</v>
      </c>
      <c r="U170" s="15">
        <f t="shared" si="278"/>
        <v>8.7719298245614048E-3</v>
      </c>
      <c r="V170" s="15">
        <f t="shared" si="278"/>
        <v>0</v>
      </c>
      <c r="W170" s="15">
        <f t="shared" si="278"/>
        <v>0</v>
      </c>
      <c r="X170" s="15">
        <f t="shared" si="278"/>
        <v>0</v>
      </c>
      <c r="Y170" s="15">
        <f>N170/$N$171</f>
        <v>1.754385964912281E-2</v>
      </c>
      <c r="Z170" s="16">
        <f>SUM(Q170:X170)</f>
        <v>1.754385964912281E-2</v>
      </c>
      <c r="AA170">
        <v>3</v>
      </c>
      <c r="AB170" t="s">
        <v>507</v>
      </c>
      <c r="AM170">
        <v>5</v>
      </c>
      <c r="AN170" t="s">
        <v>508</v>
      </c>
    </row>
    <row r="171" spans="4:44">
      <c r="N171">
        <v>37.999999999999993</v>
      </c>
      <c r="Y171" s="16">
        <f t="shared" si="189"/>
        <v>1.0000000000000002</v>
      </c>
      <c r="Z171" s="16">
        <f>SUM(Z168:Z170)</f>
        <v>1.0000000000000002</v>
      </c>
      <c r="AA171" t="s">
        <v>311</v>
      </c>
      <c r="AM171" t="s">
        <v>311</v>
      </c>
    </row>
    <row r="172" spans="4:44" ht="15.95">
      <c r="D172" t="s">
        <v>26</v>
      </c>
      <c r="E172" s="5" t="s">
        <v>50</v>
      </c>
      <c r="F172" t="s">
        <v>25</v>
      </c>
      <c r="G172" t="s">
        <v>3</v>
      </c>
      <c r="H172" t="s">
        <v>4</v>
      </c>
      <c r="I172" t="s">
        <v>5</v>
      </c>
      <c r="J172" t="s">
        <v>6</v>
      </c>
      <c r="K172" t="s">
        <v>7</v>
      </c>
      <c r="L172" t="s">
        <v>8</v>
      </c>
      <c r="M172" t="s">
        <v>9</v>
      </c>
      <c r="O172" t="s">
        <v>341</v>
      </c>
      <c r="P172" s="5" t="s">
        <v>50</v>
      </c>
      <c r="Q172" t="s">
        <v>25</v>
      </c>
      <c r="R172" s="13" t="s">
        <v>14</v>
      </c>
      <c r="S172" t="s">
        <v>4</v>
      </c>
      <c r="T172" s="13" t="s">
        <v>5</v>
      </c>
      <c r="U172" s="13" t="s">
        <v>6</v>
      </c>
      <c r="V172" s="13" t="s">
        <v>7</v>
      </c>
      <c r="W172" s="13" t="s">
        <v>8</v>
      </c>
      <c r="X172" t="s">
        <v>9</v>
      </c>
      <c r="AA172" t="s">
        <v>325</v>
      </c>
      <c r="AM172" t="s">
        <v>325</v>
      </c>
    </row>
    <row r="173" spans="4:44" ht="15.95">
      <c r="E173" s="5" t="s">
        <v>10</v>
      </c>
      <c r="F173">
        <v>14.5</v>
      </c>
      <c r="G173">
        <v>2.5</v>
      </c>
      <c r="H173">
        <v>0.5</v>
      </c>
      <c r="I173">
        <v>1.5</v>
      </c>
      <c r="J173">
        <v>1</v>
      </c>
      <c r="K173">
        <v>0</v>
      </c>
      <c r="L173">
        <v>0</v>
      </c>
      <c r="M173">
        <v>0.5</v>
      </c>
      <c r="N173">
        <v>20.5</v>
      </c>
      <c r="P173" s="5" t="s">
        <v>10</v>
      </c>
      <c r="Q173" s="15">
        <f>F173/$N$176</f>
        <v>0.43283582089552236</v>
      </c>
      <c r="R173" s="15">
        <f t="shared" ref="R173:X175" si="281">G173/$N$176</f>
        <v>7.4626865671641784E-2</v>
      </c>
      <c r="S173" s="15">
        <f t="shared" si="281"/>
        <v>1.4925373134328358E-2</v>
      </c>
      <c r="T173" s="15">
        <f t="shared" si="281"/>
        <v>4.4776119402985072E-2</v>
      </c>
      <c r="U173" s="15">
        <f t="shared" si="281"/>
        <v>2.9850746268656716E-2</v>
      </c>
      <c r="V173" s="15">
        <f t="shared" si="281"/>
        <v>0</v>
      </c>
      <c r="W173" s="15">
        <f t="shared" si="281"/>
        <v>0</v>
      </c>
      <c r="X173" s="15">
        <f t="shared" si="281"/>
        <v>1.4925373134328358E-2</v>
      </c>
      <c r="Y173" s="15">
        <f>N173/$N$176</f>
        <v>0.61194029850746268</v>
      </c>
      <c r="Z173" s="16">
        <f>SUM(Q173:X173)</f>
        <v>0.61194029850746268</v>
      </c>
      <c r="AA173" t="s">
        <v>509</v>
      </c>
      <c r="AM173" t="s">
        <v>509</v>
      </c>
    </row>
    <row r="174" spans="4:44" ht="15.95">
      <c r="E174" s="5" t="s">
        <v>11</v>
      </c>
      <c r="F174">
        <v>7.5</v>
      </c>
      <c r="G174">
        <v>1</v>
      </c>
      <c r="H174">
        <v>0.5</v>
      </c>
      <c r="I174">
        <v>0</v>
      </c>
      <c r="J174">
        <v>1.5</v>
      </c>
      <c r="K174">
        <v>0</v>
      </c>
      <c r="L174">
        <v>0</v>
      </c>
      <c r="M174">
        <v>0</v>
      </c>
      <c r="N174">
        <v>10.5</v>
      </c>
      <c r="P174" s="5" t="s">
        <v>11</v>
      </c>
      <c r="Q174" s="15">
        <f t="shared" ref="Q174:Q175" si="282">F174/$N$176</f>
        <v>0.22388059701492538</v>
      </c>
      <c r="R174" s="15">
        <f t="shared" si="281"/>
        <v>2.9850746268656716E-2</v>
      </c>
      <c r="S174" s="15">
        <f t="shared" si="281"/>
        <v>1.4925373134328358E-2</v>
      </c>
      <c r="T174" s="15">
        <f t="shared" si="281"/>
        <v>0</v>
      </c>
      <c r="U174" s="15">
        <f t="shared" si="281"/>
        <v>4.4776119402985072E-2</v>
      </c>
      <c r="V174" s="15">
        <f t="shared" si="281"/>
        <v>0</v>
      </c>
      <c r="W174" s="15">
        <f t="shared" si="281"/>
        <v>0</v>
      </c>
      <c r="X174" s="15">
        <f t="shared" si="281"/>
        <v>0</v>
      </c>
      <c r="Y174" s="15">
        <f>N174/$N$176</f>
        <v>0.31343283582089554</v>
      </c>
      <c r="Z174" s="16">
        <f t="shared" ref="Z174" si="283">SUM(Q174:X174)</f>
        <v>0.31343283582089554</v>
      </c>
      <c r="AM174" t="s">
        <v>375</v>
      </c>
    </row>
    <row r="175" spans="4:44" ht="15.95">
      <c r="E175" t="s">
        <v>12</v>
      </c>
      <c r="F175">
        <v>2.5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2.5</v>
      </c>
      <c r="P175" t="s">
        <v>12</v>
      </c>
      <c r="Q175" s="15">
        <f t="shared" si="282"/>
        <v>7.4626865671641784E-2</v>
      </c>
      <c r="R175" s="15">
        <f t="shared" si="281"/>
        <v>0</v>
      </c>
      <c r="S175" s="15">
        <f t="shared" si="281"/>
        <v>0</v>
      </c>
      <c r="T175" s="15">
        <f t="shared" si="281"/>
        <v>0</v>
      </c>
      <c r="U175" s="15">
        <f t="shared" si="281"/>
        <v>0</v>
      </c>
      <c r="V175" s="15">
        <f t="shared" si="281"/>
        <v>0</v>
      </c>
      <c r="W175" s="15">
        <f t="shared" si="281"/>
        <v>0</v>
      </c>
      <c r="X175" s="15">
        <f t="shared" si="281"/>
        <v>0</v>
      </c>
      <c r="Y175" s="15">
        <f>N175/$N$176</f>
        <v>7.4626865671641784E-2</v>
      </c>
      <c r="Z175" s="16">
        <f>SUM(Q175:X175)</f>
        <v>7.4626865671641784E-2</v>
      </c>
      <c r="AM175" t="s">
        <v>311</v>
      </c>
    </row>
    <row r="176" spans="4:44">
      <c r="N176">
        <v>33.5</v>
      </c>
      <c r="Y176" s="16">
        <f t="shared" si="189"/>
        <v>1</v>
      </c>
      <c r="Z176" s="16">
        <f>SUM(Z173:Z175)</f>
        <v>1</v>
      </c>
    </row>
    <row r="177" spans="4:26" ht="15.95">
      <c r="D177" t="s">
        <v>26</v>
      </c>
      <c r="E177" s="5" t="s">
        <v>51</v>
      </c>
      <c r="F177" t="s">
        <v>25</v>
      </c>
      <c r="G177" t="s">
        <v>3</v>
      </c>
      <c r="H177" t="s">
        <v>4</v>
      </c>
      <c r="I177" t="s">
        <v>5</v>
      </c>
      <c r="J177" t="s">
        <v>6</v>
      </c>
      <c r="K177" t="s">
        <v>7</v>
      </c>
      <c r="L177" t="s">
        <v>8</v>
      </c>
      <c r="M177" t="s">
        <v>9</v>
      </c>
      <c r="O177" t="s">
        <v>341</v>
      </c>
      <c r="P177" s="5" t="s">
        <v>51</v>
      </c>
      <c r="Q177" t="s">
        <v>25</v>
      </c>
      <c r="R177" s="13" t="s">
        <v>14</v>
      </c>
      <c r="S177" t="s">
        <v>4</v>
      </c>
      <c r="T177" s="13" t="s">
        <v>5</v>
      </c>
      <c r="U177" s="13" t="s">
        <v>6</v>
      </c>
      <c r="V177" s="13" t="s">
        <v>7</v>
      </c>
      <c r="W177" s="13" t="s">
        <v>8</v>
      </c>
      <c r="X177" t="s">
        <v>9</v>
      </c>
    </row>
    <row r="178" spans="4:26" ht="15.95">
      <c r="E178" s="5" t="s">
        <v>10</v>
      </c>
      <c r="F178">
        <v>60</v>
      </c>
      <c r="G178">
        <v>5.5</v>
      </c>
      <c r="H178">
        <v>1</v>
      </c>
      <c r="I178">
        <v>4</v>
      </c>
      <c r="J178">
        <v>0.5</v>
      </c>
      <c r="K178">
        <v>0.5</v>
      </c>
      <c r="L178">
        <v>1</v>
      </c>
      <c r="M178">
        <v>0</v>
      </c>
      <c r="N178">
        <v>72.5</v>
      </c>
      <c r="P178" s="5" t="s">
        <v>10</v>
      </c>
      <c r="Q178" s="15">
        <f>F178/$N$181</f>
        <v>0.49180327868852458</v>
      </c>
      <c r="R178" s="15">
        <f t="shared" ref="R178:X180" si="284">G178/$N$181</f>
        <v>4.5081967213114756E-2</v>
      </c>
      <c r="S178" s="15">
        <f t="shared" si="284"/>
        <v>8.1967213114754103E-3</v>
      </c>
      <c r="T178" s="15">
        <f t="shared" si="284"/>
        <v>3.2786885245901641E-2</v>
      </c>
      <c r="U178" s="15">
        <f t="shared" si="284"/>
        <v>4.0983606557377051E-3</v>
      </c>
      <c r="V178" s="15">
        <f t="shared" si="284"/>
        <v>4.0983606557377051E-3</v>
      </c>
      <c r="W178" s="15">
        <f t="shared" si="284"/>
        <v>8.1967213114754103E-3</v>
      </c>
      <c r="X178" s="15">
        <f t="shared" si="284"/>
        <v>0</v>
      </c>
      <c r="Y178" s="15">
        <f>N178/$N$181</f>
        <v>0.59426229508196726</v>
      </c>
      <c r="Z178" s="16">
        <f>SUM(Q178:X178)</f>
        <v>0.59426229508196715</v>
      </c>
    </row>
    <row r="179" spans="4:26" ht="15.95">
      <c r="E179" s="5" t="s">
        <v>11</v>
      </c>
      <c r="F179">
        <v>19</v>
      </c>
      <c r="G179">
        <v>1.5</v>
      </c>
      <c r="H179">
        <v>1</v>
      </c>
      <c r="I179">
        <v>0</v>
      </c>
      <c r="J179">
        <v>2.5</v>
      </c>
      <c r="K179">
        <v>0</v>
      </c>
      <c r="L179">
        <v>0</v>
      </c>
      <c r="M179">
        <v>0</v>
      </c>
      <c r="N179">
        <v>24</v>
      </c>
      <c r="P179" s="5" t="s">
        <v>11</v>
      </c>
      <c r="Q179" s="15">
        <f t="shared" ref="Q179:Q180" si="285">F179/$N$181</f>
        <v>0.15573770491803279</v>
      </c>
      <c r="R179" s="15">
        <f t="shared" si="284"/>
        <v>1.2295081967213115E-2</v>
      </c>
      <c r="S179" s="15">
        <f t="shared" si="284"/>
        <v>8.1967213114754103E-3</v>
      </c>
      <c r="T179" s="15">
        <f t="shared" si="284"/>
        <v>0</v>
      </c>
      <c r="U179" s="15">
        <f t="shared" si="284"/>
        <v>2.0491803278688523E-2</v>
      </c>
      <c r="V179" s="15">
        <f t="shared" si="284"/>
        <v>0</v>
      </c>
      <c r="W179" s="15">
        <f t="shared" si="284"/>
        <v>0</v>
      </c>
      <c r="X179" s="15">
        <f t="shared" si="284"/>
        <v>0</v>
      </c>
      <c r="Y179" s="15">
        <f>N179/$N$181</f>
        <v>0.19672131147540983</v>
      </c>
      <c r="Z179" s="16">
        <f t="shared" ref="Z179" si="286">SUM(Q179:X179)</f>
        <v>0.19672131147540986</v>
      </c>
    </row>
    <row r="180" spans="4:26" ht="15.95">
      <c r="E180" t="s">
        <v>12</v>
      </c>
      <c r="F180">
        <v>8</v>
      </c>
      <c r="G180">
        <v>0</v>
      </c>
      <c r="H180">
        <v>0</v>
      </c>
      <c r="I180">
        <v>0</v>
      </c>
      <c r="J180">
        <v>17.5</v>
      </c>
      <c r="K180">
        <v>0</v>
      </c>
      <c r="L180">
        <v>0</v>
      </c>
      <c r="M180">
        <v>0</v>
      </c>
      <c r="N180">
        <v>25.5</v>
      </c>
      <c r="P180" t="s">
        <v>12</v>
      </c>
      <c r="Q180" s="15">
        <f t="shared" si="285"/>
        <v>6.5573770491803282E-2</v>
      </c>
      <c r="R180" s="15">
        <f t="shared" si="284"/>
        <v>0</v>
      </c>
      <c r="S180" s="15">
        <f t="shared" si="284"/>
        <v>0</v>
      </c>
      <c r="T180" s="15">
        <f t="shared" si="284"/>
        <v>0</v>
      </c>
      <c r="U180" s="15">
        <f t="shared" si="284"/>
        <v>0.14344262295081966</v>
      </c>
      <c r="V180" s="15">
        <f t="shared" si="284"/>
        <v>0</v>
      </c>
      <c r="W180" s="15">
        <f t="shared" si="284"/>
        <v>0</v>
      </c>
      <c r="X180" s="15">
        <f t="shared" si="284"/>
        <v>0</v>
      </c>
      <c r="Y180" s="15">
        <f>N180/$N$181</f>
        <v>0.20901639344262296</v>
      </c>
      <c r="Z180" s="16">
        <f>SUM(Q180:X180)</f>
        <v>0.20901639344262296</v>
      </c>
    </row>
    <row r="181" spans="4:26">
      <c r="N181">
        <v>122</v>
      </c>
      <c r="Y181" s="16">
        <f t="shared" ref="Y181:Z191" si="287">SUM(Y178,Y179,Y180)</f>
        <v>1</v>
      </c>
      <c r="Z181" s="16">
        <f>SUM(Z178:Z180)</f>
        <v>1</v>
      </c>
    </row>
    <row r="182" spans="4:26" ht="15.95">
      <c r="D182" t="s">
        <v>26</v>
      </c>
      <c r="E182" s="5" t="s">
        <v>52</v>
      </c>
      <c r="F182" t="s">
        <v>25</v>
      </c>
      <c r="G182" t="s">
        <v>3</v>
      </c>
      <c r="H182" t="s">
        <v>4</v>
      </c>
      <c r="I182" t="s">
        <v>5</v>
      </c>
      <c r="J182" t="s">
        <v>6</v>
      </c>
      <c r="K182" t="s">
        <v>7</v>
      </c>
      <c r="L182" t="s">
        <v>8</v>
      </c>
      <c r="M182" t="s">
        <v>9</v>
      </c>
      <c r="O182" t="s">
        <v>341</v>
      </c>
      <c r="P182" s="5" t="s">
        <v>52</v>
      </c>
      <c r="Q182" t="s">
        <v>25</v>
      </c>
      <c r="R182" s="13" t="s">
        <v>14</v>
      </c>
      <c r="S182" t="s">
        <v>4</v>
      </c>
      <c r="T182" s="13" t="s">
        <v>5</v>
      </c>
      <c r="U182" s="13" t="s">
        <v>6</v>
      </c>
      <c r="V182" s="13" t="s">
        <v>7</v>
      </c>
      <c r="W182" s="13" t="s">
        <v>8</v>
      </c>
      <c r="X182" t="s">
        <v>9</v>
      </c>
    </row>
    <row r="183" spans="4:26" ht="15.95">
      <c r="E183" s="5" t="s">
        <v>10</v>
      </c>
      <c r="F183">
        <v>92.333333333333329</v>
      </c>
      <c r="G183">
        <v>9</v>
      </c>
      <c r="H183">
        <v>0.66666666666666663</v>
      </c>
      <c r="I183">
        <v>10.666666666666666</v>
      </c>
      <c r="J183">
        <v>1.3333333333333333</v>
      </c>
      <c r="K183">
        <v>0</v>
      </c>
      <c r="L183">
        <v>1.6666666666666667</v>
      </c>
      <c r="M183">
        <v>1.3333333333333333</v>
      </c>
      <c r="N183">
        <v>117</v>
      </c>
      <c r="P183" s="5" t="s">
        <v>10</v>
      </c>
      <c r="Q183" s="15">
        <f>F183/$N$186</f>
        <v>0.60217391304347834</v>
      </c>
      <c r="R183" s="15">
        <f t="shared" ref="R183:X185" si="288">G183/$N$186</f>
        <v>5.8695652173913052E-2</v>
      </c>
      <c r="S183" s="15">
        <f t="shared" si="288"/>
        <v>4.3478260869565218E-3</v>
      </c>
      <c r="T183" s="15">
        <f t="shared" si="288"/>
        <v>6.9565217391304349E-2</v>
      </c>
      <c r="U183" s="15">
        <f t="shared" si="288"/>
        <v>8.6956521739130436E-3</v>
      </c>
      <c r="V183" s="15">
        <f t="shared" si="288"/>
        <v>0</v>
      </c>
      <c r="W183" s="15">
        <f t="shared" si="288"/>
        <v>1.0869565217391306E-2</v>
      </c>
      <c r="X183" s="15">
        <f t="shared" si="288"/>
        <v>8.6956521739130436E-3</v>
      </c>
      <c r="Y183" s="15">
        <f>N183/$N$186</f>
        <v>0.76304347826086971</v>
      </c>
      <c r="Z183" s="16">
        <f>SUM(Q183:X183)</f>
        <v>0.7630434782608696</v>
      </c>
    </row>
    <row r="184" spans="4:26" ht="15.95">
      <c r="E184" s="5" t="s">
        <v>11</v>
      </c>
      <c r="F184">
        <v>15.333333333333334</v>
      </c>
      <c r="G184">
        <v>0.66666666666666663</v>
      </c>
      <c r="H184">
        <v>6.333333333333333</v>
      </c>
      <c r="I184">
        <v>0.33333333333333331</v>
      </c>
      <c r="J184">
        <v>1.3333333333333333</v>
      </c>
      <c r="K184">
        <v>0.33333333333333331</v>
      </c>
      <c r="L184">
        <v>0</v>
      </c>
      <c r="M184">
        <v>0</v>
      </c>
      <c r="N184">
        <v>24.333333333333329</v>
      </c>
      <c r="P184" s="5" t="s">
        <v>11</v>
      </c>
      <c r="Q184" s="15">
        <f t="shared" ref="Q184:Q185" si="289">F184/$N$186</f>
        <v>0.10000000000000002</v>
      </c>
      <c r="R184" s="15">
        <f t="shared" si="288"/>
        <v>4.3478260869565218E-3</v>
      </c>
      <c r="S184" s="15">
        <f t="shared" si="288"/>
        <v>4.1304347826086961E-2</v>
      </c>
      <c r="T184" s="15">
        <f t="shared" si="288"/>
        <v>2.1739130434782609E-3</v>
      </c>
      <c r="U184" s="15">
        <f t="shared" si="288"/>
        <v>8.6956521739130436E-3</v>
      </c>
      <c r="V184" s="15">
        <f t="shared" si="288"/>
        <v>2.1739130434782609E-3</v>
      </c>
      <c r="W184" s="15">
        <f t="shared" si="288"/>
        <v>0</v>
      </c>
      <c r="X184" s="15">
        <f t="shared" si="288"/>
        <v>0</v>
      </c>
      <c r="Y184" s="15">
        <f>N184/$N$186</f>
        <v>0.15869565217391304</v>
      </c>
      <c r="Z184" s="16">
        <f t="shared" ref="Z184" si="290">SUM(Q184:X184)</f>
        <v>0.15869565217391304</v>
      </c>
    </row>
    <row r="185" spans="4:26" ht="15.95">
      <c r="E185" t="s">
        <v>12</v>
      </c>
      <c r="F185">
        <v>4.666666666666667</v>
      </c>
      <c r="G185">
        <v>0</v>
      </c>
      <c r="H185">
        <v>0</v>
      </c>
      <c r="I185">
        <v>0</v>
      </c>
      <c r="J185">
        <v>7.333333333333333</v>
      </c>
      <c r="K185">
        <v>0</v>
      </c>
      <c r="L185">
        <v>0</v>
      </c>
      <c r="M185">
        <v>0</v>
      </c>
      <c r="N185">
        <v>12</v>
      </c>
      <c r="P185" t="s">
        <v>12</v>
      </c>
      <c r="Q185" s="15">
        <f t="shared" si="289"/>
        <v>3.0434782608695657E-2</v>
      </c>
      <c r="R185" s="15">
        <f t="shared" si="288"/>
        <v>0</v>
      </c>
      <c r="S185" s="15">
        <f t="shared" si="288"/>
        <v>0</v>
      </c>
      <c r="T185" s="15">
        <f t="shared" si="288"/>
        <v>0</v>
      </c>
      <c r="U185" s="15">
        <f t="shared" si="288"/>
        <v>4.7826086956521741E-2</v>
      </c>
      <c r="V185" s="15">
        <f t="shared" si="288"/>
        <v>0</v>
      </c>
      <c r="W185" s="15">
        <f t="shared" si="288"/>
        <v>0</v>
      </c>
      <c r="X185" s="15">
        <f t="shared" si="288"/>
        <v>0</v>
      </c>
      <c r="Y185" s="15">
        <f>N185/$N$186</f>
        <v>7.8260869565217397E-2</v>
      </c>
      <c r="Z185" s="16">
        <f>SUM(Q185:X185)</f>
        <v>7.8260869565217397E-2</v>
      </c>
    </row>
    <row r="186" spans="4:26">
      <c r="N186">
        <v>153.33333333333331</v>
      </c>
      <c r="Y186" s="16">
        <f t="shared" si="287"/>
        <v>1.0000000000000002</v>
      </c>
      <c r="Z186" s="16">
        <f>SUM(Z183:Z185)</f>
        <v>1</v>
      </c>
    </row>
    <row r="187" spans="4:26" ht="15.95">
      <c r="D187" t="s">
        <v>26</v>
      </c>
      <c r="E187" s="5" t="s">
        <v>53</v>
      </c>
      <c r="F187" t="s">
        <v>25</v>
      </c>
      <c r="G187" t="s">
        <v>3</v>
      </c>
      <c r="H187" t="s">
        <v>4</v>
      </c>
      <c r="I187" t="s">
        <v>5</v>
      </c>
      <c r="J187" t="s">
        <v>6</v>
      </c>
      <c r="K187" t="s">
        <v>7</v>
      </c>
      <c r="L187" t="s">
        <v>8</v>
      </c>
      <c r="M187" t="s">
        <v>9</v>
      </c>
      <c r="O187" t="s">
        <v>341</v>
      </c>
      <c r="P187" s="5" t="s">
        <v>53</v>
      </c>
      <c r="Q187" t="s">
        <v>25</v>
      </c>
      <c r="R187" s="13" t="s">
        <v>14</v>
      </c>
      <c r="S187" t="s">
        <v>4</v>
      </c>
      <c r="T187" s="13" t="s">
        <v>5</v>
      </c>
      <c r="U187" s="13" t="s">
        <v>6</v>
      </c>
      <c r="V187" s="13" t="s">
        <v>7</v>
      </c>
      <c r="W187" s="13" t="s">
        <v>8</v>
      </c>
      <c r="X187" t="s">
        <v>9</v>
      </c>
    </row>
    <row r="188" spans="4:26" ht="15.95">
      <c r="E188" s="5" t="s">
        <v>10</v>
      </c>
      <c r="F188">
        <v>62</v>
      </c>
      <c r="G188">
        <v>5.5</v>
      </c>
      <c r="H188">
        <v>0.5</v>
      </c>
      <c r="I188">
        <v>4.5</v>
      </c>
      <c r="J188">
        <v>1.5</v>
      </c>
      <c r="K188">
        <v>1.5</v>
      </c>
      <c r="L188">
        <v>1</v>
      </c>
      <c r="M188">
        <v>0.5</v>
      </c>
      <c r="N188">
        <v>77</v>
      </c>
      <c r="P188" s="5" t="s">
        <v>10</v>
      </c>
      <c r="Q188" s="15">
        <f>F188/$N$191</f>
        <v>0.53679653679653683</v>
      </c>
      <c r="R188" s="15">
        <f t="shared" ref="R188:X190" si="291">G188/$N$191</f>
        <v>4.7619047619047616E-2</v>
      </c>
      <c r="S188" s="15">
        <f t="shared" si="291"/>
        <v>4.329004329004329E-3</v>
      </c>
      <c r="T188" s="15">
        <f t="shared" si="291"/>
        <v>3.896103896103896E-2</v>
      </c>
      <c r="U188" s="15">
        <f t="shared" si="291"/>
        <v>1.2987012987012988E-2</v>
      </c>
      <c r="V188" s="15">
        <f t="shared" si="291"/>
        <v>1.2987012987012988E-2</v>
      </c>
      <c r="W188" s="15">
        <f t="shared" si="291"/>
        <v>8.658008658008658E-3</v>
      </c>
      <c r="X188" s="15">
        <f t="shared" si="291"/>
        <v>4.329004329004329E-3</v>
      </c>
      <c r="Y188" s="15">
        <f>N188/$N$191</f>
        <v>0.66666666666666663</v>
      </c>
      <c r="Z188" s="16">
        <f>SUM(Q188:X188)</f>
        <v>0.66666666666666674</v>
      </c>
    </row>
    <row r="189" spans="4:26" ht="15.95">
      <c r="E189" s="5" t="s">
        <v>11</v>
      </c>
      <c r="F189">
        <v>18</v>
      </c>
      <c r="G189">
        <v>1.5</v>
      </c>
      <c r="H189">
        <v>2</v>
      </c>
      <c r="I189">
        <v>0</v>
      </c>
      <c r="J189">
        <v>0.5</v>
      </c>
      <c r="K189">
        <v>0</v>
      </c>
      <c r="L189">
        <v>0</v>
      </c>
      <c r="M189">
        <v>0</v>
      </c>
      <c r="N189">
        <v>22</v>
      </c>
      <c r="P189" s="5" t="s">
        <v>11</v>
      </c>
      <c r="Q189" s="15">
        <f t="shared" ref="Q189:Q190" si="292">F189/$N$191</f>
        <v>0.15584415584415584</v>
      </c>
      <c r="R189" s="15">
        <f t="shared" si="291"/>
        <v>1.2987012987012988E-2</v>
      </c>
      <c r="S189" s="15">
        <f t="shared" si="291"/>
        <v>1.7316017316017316E-2</v>
      </c>
      <c r="T189" s="15">
        <f t="shared" si="291"/>
        <v>0</v>
      </c>
      <c r="U189" s="15">
        <f t="shared" si="291"/>
        <v>4.329004329004329E-3</v>
      </c>
      <c r="V189" s="15">
        <f t="shared" si="291"/>
        <v>0</v>
      </c>
      <c r="W189" s="15">
        <f t="shared" si="291"/>
        <v>0</v>
      </c>
      <c r="X189" s="15">
        <f t="shared" si="291"/>
        <v>0</v>
      </c>
      <c r="Y189" s="15">
        <f>N189/$N$191</f>
        <v>0.19047619047619047</v>
      </c>
      <c r="Z189" s="16">
        <f t="shared" ref="Z189:Z190" si="293">SUM(Q189:X189)</f>
        <v>0.19047619047619047</v>
      </c>
    </row>
    <row r="190" spans="4:26" ht="15.95">
      <c r="E190" t="s">
        <v>12</v>
      </c>
      <c r="F190">
        <v>9.5</v>
      </c>
      <c r="G190">
        <v>0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  <c r="N190">
        <v>16.5</v>
      </c>
      <c r="P190" t="s">
        <v>12</v>
      </c>
      <c r="Q190" s="15">
        <f t="shared" si="292"/>
        <v>8.2251082251082255E-2</v>
      </c>
      <c r="R190" s="15">
        <f t="shared" si="291"/>
        <v>0</v>
      </c>
      <c r="S190" s="15">
        <f t="shared" si="291"/>
        <v>0</v>
      </c>
      <c r="T190" s="15">
        <f t="shared" si="291"/>
        <v>0</v>
      </c>
      <c r="U190" s="15">
        <f t="shared" si="291"/>
        <v>6.0606060606060608E-2</v>
      </c>
      <c r="V190" s="15">
        <f t="shared" si="291"/>
        <v>0</v>
      </c>
      <c r="W190" s="15">
        <f t="shared" si="291"/>
        <v>0</v>
      </c>
      <c r="X190" s="15">
        <f t="shared" si="291"/>
        <v>0</v>
      </c>
      <c r="Y190" s="15">
        <f>N190/$N$191</f>
        <v>0.14285714285714285</v>
      </c>
      <c r="Z190" s="16">
        <f t="shared" si="293"/>
        <v>0.14285714285714285</v>
      </c>
    </row>
    <row r="191" spans="4:26">
      <c r="N191">
        <v>115.5</v>
      </c>
      <c r="Y191" s="16">
        <f t="shared" si="287"/>
        <v>1</v>
      </c>
      <c r="Z191" s="16">
        <f t="shared" si="287"/>
        <v>1</v>
      </c>
    </row>
    <row r="192" spans="4:26" ht="15.95">
      <c r="P192" s="13"/>
      <c r="R192" s="13"/>
      <c r="T192" s="13"/>
      <c r="U192" s="13"/>
      <c r="V192" s="13"/>
      <c r="W192" s="13"/>
    </row>
    <row r="193" spans="4:25" ht="15.95">
      <c r="P193" s="13"/>
      <c r="Q193" s="15"/>
      <c r="R193" s="15"/>
      <c r="S193" s="15"/>
      <c r="T193" s="15"/>
      <c r="U193" s="15"/>
      <c r="V193" s="15"/>
      <c r="W193" s="15"/>
      <c r="X193" s="15"/>
      <c r="Y193" s="15"/>
    </row>
    <row r="196" spans="4:25" ht="15.95">
      <c r="D196" t="s">
        <v>510</v>
      </c>
      <c r="E196" s="5"/>
      <c r="F196" t="s">
        <v>25</v>
      </c>
      <c r="G196" t="s">
        <v>3</v>
      </c>
      <c r="H196" t="s">
        <v>4</v>
      </c>
      <c r="I196" t="s">
        <v>5</v>
      </c>
      <c r="J196" t="s">
        <v>6</v>
      </c>
      <c r="K196" t="s">
        <v>7</v>
      </c>
      <c r="L196" t="s">
        <v>8</v>
      </c>
      <c r="M196" t="s">
        <v>9</v>
      </c>
    </row>
    <row r="197" spans="4:25" ht="15.95">
      <c r="E197" s="5" t="s">
        <v>10</v>
      </c>
      <c r="F197">
        <f>F188+F183+F178+F173+F168+F163+F158+F153+F148+F138+F133+F128+F123+F118+F113+F108+F103+F98+F93+F88+F83+F78+F73+F68+F63+F58+F53+F48+F43+F38+F33+F28+F23+F18+F13+F8+F3</f>
        <v>1127.8666666666668</v>
      </c>
      <c r="G197">
        <f t="shared" ref="G197:M197" si="294">G188+G183+G178+G173+G168+G163+G158+G153+G148+G138+G133+G128+G123+G118+G113+G108+G103+G98+G93+G88+G83+G78+G73+G68+G63+G58+G53+G48+G43+G38+G33+G28+G23+G18+G13+G8+G3</f>
        <v>126.3</v>
      </c>
      <c r="H197">
        <f t="shared" si="294"/>
        <v>27.066666666666663</v>
      </c>
      <c r="I197">
        <f t="shared" si="294"/>
        <v>98.466666666666654</v>
      </c>
      <c r="J197">
        <f t="shared" si="294"/>
        <v>38.200000000000003</v>
      </c>
      <c r="K197">
        <f t="shared" si="294"/>
        <v>17.100000000000001</v>
      </c>
      <c r="L197">
        <f t="shared" si="294"/>
        <v>30.566666666666663</v>
      </c>
      <c r="M197">
        <f t="shared" si="294"/>
        <v>84.9</v>
      </c>
      <c r="N197">
        <f>N188+N183+N178+N173+N168+N163+N158+N153+N148+N138+N133+N128+N123+N118+N113+N108+N103+N98+N93+N88+N83+N78+N73+N68+N63+N58+N53+N48+N43+N38+N33+N28+N23+N18+N13+N8+N3</f>
        <v>1655.4666666666667</v>
      </c>
    </row>
    <row r="198" spans="4:25" ht="15.95">
      <c r="E198" s="5" t="s">
        <v>11</v>
      </c>
      <c r="F198">
        <f t="shared" ref="F198:M198" si="295">F189+F184+F179+F174+F169+F164+F159+F154+F149+F139+F134+F129+F124+F119+F114+F109+F104+F99+F94+F89+F84+F79+F74+F69+F64+F59+F54+F49+F44+F39+F34+F29+F24+F19+F14+F9+F4</f>
        <v>233.20000000000002</v>
      </c>
      <c r="G198">
        <f t="shared" si="295"/>
        <v>29.733333333333331</v>
      </c>
      <c r="H198">
        <f t="shared" si="295"/>
        <v>14</v>
      </c>
      <c r="I198">
        <f t="shared" si="295"/>
        <v>2.2999999999999998</v>
      </c>
      <c r="J198">
        <f t="shared" si="295"/>
        <v>28.099999999999994</v>
      </c>
      <c r="K198">
        <f t="shared" si="295"/>
        <v>3.1666666666666665</v>
      </c>
      <c r="L198">
        <f t="shared" si="295"/>
        <v>4.5</v>
      </c>
      <c r="M198">
        <f t="shared" si="295"/>
        <v>6</v>
      </c>
      <c r="N198">
        <f t="shared" ref="N198" si="296">N189+N184+N179+N174+N169+N164+N159+N154+N149+N139+N134+N129+N124+N119+N114+N109+N104+N99+N94+N89+N84+N79+N74+N69+N64+N59+N54+N49+N44+N39+N34+N29+N24+N19+N14+N9+N4</f>
        <v>357</v>
      </c>
    </row>
    <row r="199" spans="4:25">
      <c r="E199" t="s">
        <v>12</v>
      </c>
      <c r="F199" t="e">
        <f>F190+F185+F180+F175+F170+F165+F160+F155+F150+F140+F135+F130+F125+F120+F115+F110+F105+F100+F95+F90+F85+F80+F75+F70+F65+F60+F55+F50+F45+F40+F35+F30+F25+F20+F15+F10+F5</f>
        <v>#DIV/0!</v>
      </c>
      <c r="G199" t="e">
        <f t="shared" ref="G199:M199" si="297">G190+G185+G180+G175+G170+G165+G160+G155+G150+G140+G135+G130+G125+G120+G115+G110+G105+G100+G95+G90+G85+G80+G75+G70+G65+G60+G55+G50+G45+G40+G35+G30+G25+G20+G15+G10+G5</f>
        <v>#DIV/0!</v>
      </c>
      <c r="H199" t="e">
        <f t="shared" si="297"/>
        <v>#DIV/0!</v>
      </c>
      <c r="I199" t="e">
        <f t="shared" si="297"/>
        <v>#DIV/0!</v>
      </c>
      <c r="J199" t="e">
        <f t="shared" si="297"/>
        <v>#DIV/0!</v>
      </c>
      <c r="K199" t="e">
        <f t="shared" si="297"/>
        <v>#DIV/0!</v>
      </c>
      <c r="L199" t="e">
        <f t="shared" si="297"/>
        <v>#DIV/0!</v>
      </c>
      <c r="M199" t="e">
        <f t="shared" si="297"/>
        <v>#DIV/0!</v>
      </c>
      <c r="N199">
        <f>N190+N185+N180+N175+N170+N165+N161+N156+N151+N141+N136+N131+N126+N121+N116+N111+N106+N101+N96+N91+N86+N81+N76+N71+N66+N61+N55+N50+N45+N40+N35+N30+N25+N20+N15+N10+N5</f>
        <v>968.8</v>
      </c>
    </row>
    <row r="200" spans="4:25">
      <c r="N200">
        <f>N191+N186+N181+N176+N171+N166+N161+N156+N151+N141+N136+N131+N126+N121+N116+N111+N106+N101+N96+N91+N86+N81+N76+N71+N66+N61++N56+N51+N46+N41+N36+N31+N26+N21+N16+N11+N6</f>
        <v>2266.2666666666664</v>
      </c>
    </row>
    <row r="203" spans="4:25">
      <c r="N203">
        <f>F197/N200</f>
        <v>0.49767606048126151</v>
      </c>
    </row>
  </sheetData>
  <sortState xmlns:xlrd2="http://schemas.microsoft.com/office/spreadsheetml/2017/richdata2" ref="BO1:BP144">
    <sortCondition ref="BO1:BO14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1094-2C89-4A8D-8047-4B0C2B040976}">
  <dimension ref="A1:K58"/>
  <sheetViews>
    <sheetView workbookViewId="0">
      <selection activeCell="L4" sqref="L4"/>
    </sheetView>
  </sheetViews>
  <sheetFormatPr defaultColWidth="8.85546875" defaultRowHeight="15"/>
  <sheetData>
    <row r="1" spans="1:11">
      <c r="A1" t="s">
        <v>273</v>
      </c>
      <c r="E1" t="s">
        <v>276</v>
      </c>
      <c r="I1" t="s">
        <v>277</v>
      </c>
    </row>
    <row r="2" spans="1:11">
      <c r="A2" s="16" t="s">
        <v>284</v>
      </c>
      <c r="B2" s="16">
        <v>0.19215686274509802</v>
      </c>
      <c r="C2" s="16">
        <v>16.333333333333332</v>
      </c>
      <c r="E2" t="s">
        <v>286</v>
      </c>
      <c r="F2" s="16">
        <v>0.64269406392694062</v>
      </c>
      <c r="G2">
        <v>46.916666666666664</v>
      </c>
      <c r="I2" t="s">
        <v>288</v>
      </c>
      <c r="J2" s="16">
        <v>0.8046511627906977</v>
      </c>
      <c r="K2">
        <v>86.5</v>
      </c>
    </row>
    <row r="3" spans="1:11">
      <c r="A3" s="16" t="s">
        <v>293</v>
      </c>
      <c r="B3" s="16">
        <v>0.16862745098039214</v>
      </c>
      <c r="C3" s="16">
        <v>14.333333333333332</v>
      </c>
      <c r="E3" t="s">
        <v>295</v>
      </c>
      <c r="F3">
        <v>0.20319634703196346</v>
      </c>
      <c r="G3">
        <v>14.833333333333332</v>
      </c>
      <c r="I3" t="s">
        <v>296</v>
      </c>
      <c r="J3" s="16">
        <v>8.3720930232558138E-2</v>
      </c>
      <c r="K3">
        <v>9</v>
      </c>
    </row>
    <row r="4" spans="1:11">
      <c r="A4" t="s">
        <v>286</v>
      </c>
      <c r="B4" s="16">
        <v>0.41568627450980383</v>
      </c>
      <c r="C4" s="16">
        <v>35.333333333333329</v>
      </c>
      <c r="E4" t="s">
        <v>318</v>
      </c>
      <c r="F4">
        <v>9.2465753424657529E-2</v>
      </c>
      <c r="G4">
        <v>6.75</v>
      </c>
      <c r="I4" t="s">
        <v>320</v>
      </c>
      <c r="J4" s="16">
        <v>1.3953488372093023E-2</v>
      </c>
      <c r="K4">
        <v>1.5</v>
      </c>
    </row>
    <row r="5" spans="1:11">
      <c r="A5" t="s">
        <v>327</v>
      </c>
      <c r="B5" s="16">
        <v>5.8823529411764705E-2</v>
      </c>
      <c r="C5" s="16">
        <v>5</v>
      </c>
      <c r="E5" t="s">
        <v>327</v>
      </c>
      <c r="F5" s="16">
        <v>4.7945205479452052E-2</v>
      </c>
      <c r="G5">
        <v>3.5</v>
      </c>
      <c r="I5" t="s">
        <v>330</v>
      </c>
      <c r="J5" s="16">
        <v>8.3720930232558138E-2</v>
      </c>
      <c r="K5">
        <v>9</v>
      </c>
    </row>
    <row r="6" spans="1:11">
      <c r="B6" s="16">
        <v>0.83529411764705874</v>
      </c>
      <c r="C6" s="16">
        <v>71</v>
      </c>
      <c r="F6" s="16">
        <v>0.98630136986301364</v>
      </c>
      <c r="G6" s="16">
        <v>72</v>
      </c>
      <c r="I6" t="s">
        <v>337</v>
      </c>
      <c r="J6" s="16">
        <v>9.3023255813953487E-3</v>
      </c>
      <c r="K6">
        <v>1</v>
      </c>
    </row>
    <row r="7" spans="1:11">
      <c r="A7" t="s">
        <v>298</v>
      </c>
      <c r="E7" t="s">
        <v>299</v>
      </c>
      <c r="J7" s="16">
        <v>0.99534883720930223</v>
      </c>
      <c r="K7" s="16">
        <v>107</v>
      </c>
    </row>
    <row r="8" spans="1:11">
      <c r="A8" t="s">
        <v>286</v>
      </c>
      <c r="B8" s="16">
        <v>0.60579710144927534</v>
      </c>
      <c r="C8">
        <v>27.866666666666667</v>
      </c>
      <c r="E8" s="27" t="s">
        <v>286</v>
      </c>
      <c r="F8" s="27">
        <v>0.18995633187772923</v>
      </c>
      <c r="G8">
        <v>17.399999999999999</v>
      </c>
      <c r="I8" t="s">
        <v>300</v>
      </c>
    </row>
    <row r="9" spans="1:11">
      <c r="A9" t="s">
        <v>314</v>
      </c>
      <c r="B9" s="16">
        <v>8.2608695652173908E-2</v>
      </c>
      <c r="C9">
        <v>3.8</v>
      </c>
      <c r="E9" s="27" t="s">
        <v>343</v>
      </c>
      <c r="F9" s="27">
        <v>0.21397379912663755</v>
      </c>
      <c r="G9">
        <v>19.600000000000001</v>
      </c>
      <c r="I9" t="s">
        <v>286</v>
      </c>
      <c r="J9" s="16">
        <v>0.39896755162241893</v>
      </c>
      <c r="K9">
        <v>30.055555555555557</v>
      </c>
    </row>
    <row r="10" spans="1:11">
      <c r="A10" t="s">
        <v>293</v>
      </c>
      <c r="B10">
        <v>0.1855072463768116</v>
      </c>
      <c r="C10">
        <v>8.5333333333333332</v>
      </c>
      <c r="E10" s="27" t="s">
        <v>284</v>
      </c>
      <c r="F10" s="27">
        <v>0.35152838427947597</v>
      </c>
      <c r="G10">
        <v>32.200000000000003</v>
      </c>
      <c r="I10" t="s">
        <v>384</v>
      </c>
      <c r="J10" s="16">
        <v>0.14601769911504425</v>
      </c>
      <c r="K10">
        <v>11</v>
      </c>
    </row>
    <row r="11" spans="1:11">
      <c r="B11" s="16">
        <v>0.87391304347826082</v>
      </c>
      <c r="C11" s="16">
        <v>40.200000000000003</v>
      </c>
      <c r="E11" s="27" t="s">
        <v>321</v>
      </c>
      <c r="F11" s="27">
        <v>6.5502183406113525E-3</v>
      </c>
      <c r="G11">
        <v>0.6</v>
      </c>
      <c r="I11" t="s">
        <v>284</v>
      </c>
      <c r="J11" s="16">
        <v>0.13274336283185842</v>
      </c>
      <c r="K11">
        <v>10</v>
      </c>
    </row>
    <row r="12" spans="1:11">
      <c r="A12" t="s">
        <v>301</v>
      </c>
      <c r="E12" s="27" t="s">
        <v>327</v>
      </c>
      <c r="F12" s="27">
        <v>4.3668122270742356E-3</v>
      </c>
      <c r="G12">
        <v>0.4</v>
      </c>
      <c r="I12" t="s">
        <v>361</v>
      </c>
      <c r="J12">
        <v>0.13053097345132744</v>
      </c>
      <c r="K12">
        <v>9.8333333333333339</v>
      </c>
    </row>
    <row r="13" spans="1:11">
      <c r="A13" t="s">
        <v>286</v>
      </c>
      <c r="B13" s="16">
        <v>0.42411924119241184</v>
      </c>
      <c r="C13">
        <v>52.166666666666671</v>
      </c>
      <c r="E13" s="27" t="s">
        <v>398</v>
      </c>
      <c r="F13" s="27">
        <v>0.19868995633187772</v>
      </c>
      <c r="G13">
        <v>18.2</v>
      </c>
      <c r="I13" t="s">
        <v>327</v>
      </c>
      <c r="J13" s="16">
        <v>5.7522123893805309E-2</v>
      </c>
      <c r="K13">
        <v>4.333333333333333</v>
      </c>
    </row>
    <row r="14" spans="1:11">
      <c r="A14" t="s">
        <v>296</v>
      </c>
      <c r="B14">
        <v>0.25609756097560971</v>
      </c>
      <c r="C14">
        <v>31.5</v>
      </c>
      <c r="E14" s="27" t="s">
        <v>330</v>
      </c>
      <c r="F14" s="27">
        <v>1.5283842794759823E-2</v>
      </c>
      <c r="G14">
        <v>1.4</v>
      </c>
      <c r="I14" t="s">
        <v>381</v>
      </c>
      <c r="J14">
        <v>0.112094395280236</v>
      </c>
      <c r="K14">
        <v>8.4444444444444446</v>
      </c>
    </row>
    <row r="15" spans="1:11">
      <c r="A15" t="s">
        <v>327</v>
      </c>
      <c r="B15" s="16">
        <v>0.16802168021680214</v>
      </c>
      <c r="C15">
        <v>20.666666666666668</v>
      </c>
      <c r="E15" s="27"/>
      <c r="F15" s="27">
        <v>0.98034934497816584</v>
      </c>
      <c r="G15">
        <v>89.800000000000011</v>
      </c>
      <c r="J15" s="16">
        <v>0.97787610619469034</v>
      </c>
      <c r="K15">
        <v>73.666666666666671</v>
      </c>
    </row>
    <row r="16" spans="1:11">
      <c r="A16" t="s">
        <v>398</v>
      </c>
      <c r="B16" s="16">
        <v>9.485094850948507E-2</v>
      </c>
      <c r="C16">
        <v>11.666666666666666</v>
      </c>
      <c r="E16" t="s">
        <v>302</v>
      </c>
      <c r="I16" t="s">
        <v>303</v>
      </c>
    </row>
    <row r="17" spans="1:11">
      <c r="B17" s="16">
        <v>0.94308943089430874</v>
      </c>
      <c r="C17">
        <v>116.00000000000001</v>
      </c>
      <c r="E17" t="s">
        <v>286</v>
      </c>
      <c r="F17" s="16">
        <v>0.8216911764705882</v>
      </c>
      <c r="G17">
        <v>111.75</v>
      </c>
      <c r="I17" t="s">
        <v>286</v>
      </c>
      <c r="J17" s="16">
        <v>0.22267206477732793</v>
      </c>
      <c r="K17">
        <v>27.5</v>
      </c>
    </row>
    <row r="18" spans="1:11">
      <c r="A18" t="s">
        <v>304</v>
      </c>
      <c r="E18" t="s">
        <v>283</v>
      </c>
      <c r="F18">
        <v>2.2058823529411763E-2</v>
      </c>
      <c r="G18">
        <v>2.9999999999999996</v>
      </c>
      <c r="I18" t="s">
        <v>296</v>
      </c>
      <c r="J18">
        <v>0.24831309041835356</v>
      </c>
      <c r="K18">
        <v>30.666666666666664</v>
      </c>
    </row>
    <row r="19" spans="1:11">
      <c r="A19" t="s">
        <v>286</v>
      </c>
      <c r="B19" s="16">
        <v>0.50828729281767948</v>
      </c>
      <c r="C19">
        <v>45.999999999999993</v>
      </c>
      <c r="E19" t="s">
        <v>296</v>
      </c>
      <c r="F19">
        <v>9.1911764705882356E-3</v>
      </c>
      <c r="G19">
        <v>1.25</v>
      </c>
      <c r="I19" t="s">
        <v>321</v>
      </c>
      <c r="J19">
        <v>3.2388663967611336E-2</v>
      </c>
      <c r="K19">
        <v>4</v>
      </c>
    </row>
    <row r="20" spans="1:11">
      <c r="A20" t="s">
        <v>296</v>
      </c>
      <c r="B20" s="16">
        <v>7.18232044198895E-2</v>
      </c>
      <c r="C20">
        <v>6.5</v>
      </c>
      <c r="E20" t="s">
        <v>321</v>
      </c>
      <c r="F20" s="16">
        <v>2.5735294117647058E-2</v>
      </c>
      <c r="G20">
        <v>3.5</v>
      </c>
      <c r="I20" t="s">
        <v>398</v>
      </c>
      <c r="J20" s="16">
        <v>0.22807017543859648</v>
      </c>
      <c r="K20">
        <v>28.166666666666664</v>
      </c>
    </row>
    <row r="21" spans="1:11">
      <c r="A21" t="s">
        <v>293</v>
      </c>
      <c r="B21" s="16">
        <v>3.8674033149171269E-2</v>
      </c>
      <c r="C21">
        <v>3.5</v>
      </c>
      <c r="E21" t="s">
        <v>398</v>
      </c>
      <c r="F21" s="16">
        <v>8.0882352941176475E-2</v>
      </c>
      <c r="G21">
        <v>11</v>
      </c>
      <c r="I21" t="s">
        <v>330</v>
      </c>
      <c r="J21">
        <v>0.24021592442645073</v>
      </c>
      <c r="K21">
        <v>29.666666666666664</v>
      </c>
    </row>
    <row r="22" spans="1:11">
      <c r="A22" t="s">
        <v>284</v>
      </c>
      <c r="B22" s="16">
        <v>0.11049723756906077</v>
      </c>
      <c r="C22">
        <v>10</v>
      </c>
      <c r="E22" t="s">
        <v>330</v>
      </c>
      <c r="F22">
        <v>1.4705882352941176E-2</v>
      </c>
      <c r="G22">
        <v>2</v>
      </c>
      <c r="J22" s="16">
        <v>0.97165991902834015</v>
      </c>
      <c r="K22" s="16">
        <v>120</v>
      </c>
    </row>
    <row r="23" spans="1:11">
      <c r="A23" t="s">
        <v>327</v>
      </c>
      <c r="B23">
        <v>0.17679558011049723</v>
      </c>
      <c r="C23">
        <v>16</v>
      </c>
      <c r="F23" s="16">
        <v>0.97426470588235292</v>
      </c>
      <c r="G23" s="34">
        <v>132.5</v>
      </c>
      <c r="I23" t="s">
        <v>511</v>
      </c>
    </row>
    <row r="24" spans="1:11">
      <c r="A24" t="s">
        <v>330</v>
      </c>
      <c r="B24" s="16">
        <v>6.0773480662983423E-2</v>
      </c>
      <c r="C24">
        <v>5.5</v>
      </c>
      <c r="E24" t="s">
        <v>305</v>
      </c>
      <c r="I24" t="s">
        <v>286</v>
      </c>
      <c r="J24" s="16">
        <v>3.1746031746031744E-2</v>
      </c>
      <c r="K24">
        <v>1</v>
      </c>
    </row>
    <row r="25" spans="1:11">
      <c r="B25" s="16">
        <v>0.96685082872928163</v>
      </c>
      <c r="C25" s="16">
        <v>87.5</v>
      </c>
      <c r="E25" t="s">
        <v>286</v>
      </c>
      <c r="F25" s="16">
        <v>0.30874316939890706</v>
      </c>
      <c r="G25">
        <v>28.249999999999996</v>
      </c>
      <c r="I25" t="s">
        <v>312</v>
      </c>
      <c r="J25" s="16">
        <v>0.30158730158730157</v>
      </c>
      <c r="K25">
        <v>9.5</v>
      </c>
    </row>
    <row r="26" spans="1:11">
      <c r="A26" t="s">
        <v>485</v>
      </c>
      <c r="E26" t="s">
        <v>477</v>
      </c>
      <c r="F26">
        <v>1.912568306010929E-2</v>
      </c>
      <c r="G26">
        <v>1.75</v>
      </c>
      <c r="I26" t="s">
        <v>413</v>
      </c>
      <c r="J26" s="16">
        <v>4.7619047619047616E-2</v>
      </c>
      <c r="K26">
        <v>1.5</v>
      </c>
    </row>
    <row r="27" spans="1:11">
      <c r="A27" t="s">
        <v>314</v>
      </c>
      <c r="B27" s="16">
        <v>0.15625</v>
      </c>
      <c r="C27">
        <v>5</v>
      </c>
      <c r="E27" t="s">
        <v>343</v>
      </c>
      <c r="F27">
        <v>0.25683060109289613</v>
      </c>
      <c r="G27">
        <v>23.499999999999996</v>
      </c>
      <c r="I27" t="s">
        <v>324</v>
      </c>
      <c r="J27" s="16">
        <v>0.23809523809523808</v>
      </c>
      <c r="K27">
        <v>7.5</v>
      </c>
    </row>
    <row r="28" spans="1:11">
      <c r="A28" t="s">
        <v>283</v>
      </c>
      <c r="B28" s="16">
        <v>0.22916666666666666</v>
      </c>
      <c r="C28">
        <v>7.333333333333333</v>
      </c>
      <c r="E28" t="s">
        <v>318</v>
      </c>
      <c r="F28">
        <v>3.0054644808743168E-2</v>
      </c>
      <c r="G28">
        <v>2.75</v>
      </c>
      <c r="K28">
        <v>31.5</v>
      </c>
    </row>
    <row r="29" spans="1:11">
      <c r="A29" t="s">
        <v>338</v>
      </c>
      <c r="B29" s="16">
        <v>0.22916666666666666</v>
      </c>
      <c r="C29">
        <v>7.333333333333333</v>
      </c>
      <c r="E29" t="s">
        <v>381</v>
      </c>
      <c r="F29">
        <v>7.1038251366120214E-2</v>
      </c>
      <c r="G29">
        <v>6.5</v>
      </c>
      <c r="I29" t="s">
        <v>472</v>
      </c>
    </row>
    <row r="30" spans="1:11">
      <c r="A30" t="s">
        <v>343</v>
      </c>
      <c r="B30" s="16">
        <v>3.125E-2</v>
      </c>
      <c r="C30">
        <v>1</v>
      </c>
      <c r="E30" t="s">
        <v>327</v>
      </c>
      <c r="F30" s="16">
        <v>4.0983606557377053E-2</v>
      </c>
      <c r="G30">
        <v>3.7500000000000004</v>
      </c>
      <c r="I30" t="s">
        <v>286</v>
      </c>
      <c r="J30" s="16">
        <v>0.70833333333333337</v>
      </c>
      <c r="K30">
        <v>17</v>
      </c>
    </row>
    <row r="31" spans="1:11">
      <c r="A31" t="s">
        <v>372</v>
      </c>
      <c r="B31" s="16">
        <v>4.6875E-2</v>
      </c>
      <c r="C31">
        <v>1.5</v>
      </c>
      <c r="E31" t="s">
        <v>398</v>
      </c>
      <c r="F31" s="16">
        <v>2.7322404371584699E-2</v>
      </c>
      <c r="G31">
        <v>2.5</v>
      </c>
      <c r="I31" t="s">
        <v>387</v>
      </c>
      <c r="J31" s="16">
        <v>4.1666666666666664E-2</v>
      </c>
      <c r="K31">
        <v>1</v>
      </c>
    </row>
    <row r="32" spans="1:11">
      <c r="A32" t="s">
        <v>286</v>
      </c>
      <c r="B32" s="16">
        <v>0.26041666666666663</v>
      </c>
      <c r="C32">
        <v>8.3333333333333321</v>
      </c>
      <c r="E32" t="s">
        <v>404</v>
      </c>
      <c r="F32" s="16">
        <v>0.21311475409836064</v>
      </c>
      <c r="G32">
        <v>19.5</v>
      </c>
      <c r="I32" t="s">
        <v>362</v>
      </c>
      <c r="J32" s="16">
        <v>4.1666666666666664E-2</v>
      </c>
      <c r="K32">
        <v>1</v>
      </c>
    </row>
    <row r="33" spans="1:11">
      <c r="A33" t="s">
        <v>441</v>
      </c>
      <c r="B33" s="16">
        <v>4.6875E-2</v>
      </c>
      <c r="C33">
        <v>1.5</v>
      </c>
      <c r="E33" t="s">
        <v>330</v>
      </c>
      <c r="F33" s="16">
        <v>1.6393442622950821E-2</v>
      </c>
      <c r="G33">
        <v>1.5</v>
      </c>
      <c r="J33" s="16">
        <v>0.79166666666666663</v>
      </c>
      <c r="K33" s="16">
        <v>19</v>
      </c>
    </row>
    <row r="34" spans="1:11">
      <c r="B34" s="16">
        <f>SUM(B27:B33)</f>
        <v>0.99999999999999989</v>
      </c>
      <c r="C34">
        <f>SUM(C27:C33)</f>
        <v>31.999999999999996</v>
      </c>
      <c r="F34" s="16">
        <v>0.98360655737704927</v>
      </c>
      <c r="G34" s="16">
        <v>90</v>
      </c>
      <c r="I34" t="s">
        <v>481</v>
      </c>
    </row>
    <row r="35" spans="1:11">
      <c r="A35" t="s">
        <v>501</v>
      </c>
      <c r="E35" t="s">
        <v>505</v>
      </c>
      <c r="I35" t="s">
        <v>369</v>
      </c>
      <c r="J35">
        <v>3.9215686274509803E-2</v>
      </c>
      <c r="K35">
        <v>0.66666666666666663</v>
      </c>
    </row>
    <row r="36" spans="1:11">
      <c r="A36" s="38" t="s">
        <v>368</v>
      </c>
      <c r="B36" s="16">
        <v>8.8235294117647065E-2</v>
      </c>
      <c r="C36">
        <v>3</v>
      </c>
      <c r="E36" t="s">
        <v>283</v>
      </c>
      <c r="F36">
        <v>0.6428571428571429</v>
      </c>
      <c r="G36">
        <v>4.5</v>
      </c>
      <c r="I36" t="s">
        <v>435</v>
      </c>
      <c r="J36">
        <v>3.9215686274509803E-2</v>
      </c>
      <c r="K36">
        <v>0.66666666666666663</v>
      </c>
    </row>
    <row r="37" spans="1:11">
      <c r="A37" t="s">
        <v>321</v>
      </c>
      <c r="B37" s="16">
        <v>0.15441176470588236</v>
      </c>
      <c r="C37">
        <v>5.25</v>
      </c>
      <c r="E37" t="s">
        <v>343</v>
      </c>
      <c r="F37" s="16">
        <v>7.1428571428571425E-2</v>
      </c>
      <c r="G37">
        <v>0.5</v>
      </c>
      <c r="I37" t="s">
        <v>293</v>
      </c>
      <c r="J37">
        <v>3.9215686274509803E-2</v>
      </c>
      <c r="K37">
        <v>0.66666666666666663</v>
      </c>
    </row>
    <row r="38" spans="1:11">
      <c r="A38" t="s">
        <v>317</v>
      </c>
      <c r="B38" s="16">
        <v>0.21323529411764708</v>
      </c>
      <c r="C38">
        <v>7.2500000000000009</v>
      </c>
      <c r="I38" t="s">
        <v>321</v>
      </c>
      <c r="J38">
        <v>0.3235294117647059</v>
      </c>
      <c r="K38">
        <v>5.5</v>
      </c>
    </row>
    <row r="39" spans="1:11">
      <c r="A39" t="s">
        <v>379</v>
      </c>
      <c r="B39" s="16">
        <v>5.8823529411764705E-2</v>
      </c>
      <c r="C39">
        <v>2</v>
      </c>
      <c r="I39" t="s">
        <v>340</v>
      </c>
      <c r="J39">
        <v>0.3235294117647059</v>
      </c>
      <c r="K39">
        <v>5.5</v>
      </c>
    </row>
    <row r="40" spans="1:11">
      <c r="A40" s="38" t="s">
        <v>445</v>
      </c>
      <c r="B40" s="16">
        <v>2.9411764705882353E-2</v>
      </c>
      <c r="C40">
        <v>1</v>
      </c>
      <c r="K40">
        <f>SUM(K35:K39)</f>
        <v>13</v>
      </c>
    </row>
    <row r="41" spans="1:11">
      <c r="A41" t="s">
        <v>437</v>
      </c>
      <c r="B41" s="16">
        <v>0.15441176470588236</v>
      </c>
      <c r="C41">
        <v>5.25</v>
      </c>
      <c r="I41" t="s">
        <v>500</v>
      </c>
    </row>
    <row r="42" spans="1:11">
      <c r="B42" s="16"/>
      <c r="I42" t="s">
        <v>286</v>
      </c>
      <c r="J42">
        <v>0.70833333333333337</v>
      </c>
      <c r="K42">
        <v>17</v>
      </c>
    </row>
    <row r="43" spans="1:11">
      <c r="A43" s="38" t="s">
        <v>440</v>
      </c>
      <c r="B43" s="16">
        <v>0.15441176470588236</v>
      </c>
      <c r="C43">
        <v>5.25</v>
      </c>
      <c r="I43" t="s">
        <v>387</v>
      </c>
      <c r="J43" s="16">
        <v>4.1666666666666664E-2</v>
      </c>
      <c r="K43">
        <v>1</v>
      </c>
    </row>
    <row r="44" spans="1:11">
      <c r="C44">
        <v>29</v>
      </c>
      <c r="I44" t="s">
        <v>362</v>
      </c>
      <c r="J44" s="16">
        <v>4.1666666666666664E-2</v>
      </c>
      <c r="K44">
        <v>1</v>
      </c>
    </row>
    <row r="45" spans="1:11">
      <c r="A45" t="s">
        <v>504</v>
      </c>
      <c r="J45" s="16">
        <v>0.79166666666666663</v>
      </c>
      <c r="K45">
        <v>19</v>
      </c>
    </row>
    <row r="46" spans="1:11">
      <c r="A46" t="s">
        <v>343</v>
      </c>
      <c r="B46">
        <v>7.4999999999999997E-2</v>
      </c>
      <c r="C46">
        <v>1.5</v>
      </c>
      <c r="I46" t="s">
        <v>503</v>
      </c>
    </row>
    <row r="47" spans="1:11">
      <c r="A47" t="s">
        <v>286</v>
      </c>
      <c r="B47">
        <v>0.27500000000000002</v>
      </c>
      <c r="C47">
        <v>5.5</v>
      </c>
      <c r="I47" t="s">
        <v>293</v>
      </c>
      <c r="J47" s="16">
        <v>0.13333333333333333</v>
      </c>
      <c r="K47">
        <v>2</v>
      </c>
    </row>
    <row r="48" spans="1:11">
      <c r="A48" t="s">
        <v>293</v>
      </c>
      <c r="B48" s="16">
        <v>0.05</v>
      </c>
      <c r="C48">
        <v>1</v>
      </c>
      <c r="I48" t="s">
        <v>436</v>
      </c>
      <c r="J48" s="16">
        <v>0.2</v>
      </c>
      <c r="K48">
        <v>3</v>
      </c>
    </row>
    <row r="49" spans="9:11">
      <c r="I49" s="38" t="s">
        <v>283</v>
      </c>
      <c r="J49" s="16">
        <v>0.13333333333333333</v>
      </c>
      <c r="K49">
        <v>2</v>
      </c>
    </row>
    <row r="50" spans="9:11">
      <c r="I50" s="38" t="s">
        <v>376</v>
      </c>
      <c r="J50" s="16">
        <v>0.13333333333333333</v>
      </c>
      <c r="K50">
        <v>2</v>
      </c>
    </row>
    <row r="51" spans="9:11">
      <c r="K51">
        <v>9</v>
      </c>
    </row>
    <row r="52" spans="9:11">
      <c r="I52" t="s">
        <v>506</v>
      </c>
    </row>
    <row r="53" spans="9:11">
      <c r="I53" t="s">
        <v>286</v>
      </c>
      <c r="J53">
        <v>0.28804347826086957</v>
      </c>
      <c r="K53">
        <v>13.25</v>
      </c>
    </row>
    <row r="54" spans="9:11">
      <c r="I54" t="s">
        <v>369</v>
      </c>
      <c r="J54">
        <v>0.28260869565217389</v>
      </c>
      <c r="K54">
        <v>12.999999999999998</v>
      </c>
    </row>
    <row r="55" spans="9:11">
      <c r="I55" t="s">
        <v>407</v>
      </c>
      <c r="J55">
        <v>1.8115942028985508E-2</v>
      </c>
      <c r="K55">
        <v>0.83333333333333337</v>
      </c>
    </row>
    <row r="56" spans="9:11">
      <c r="I56" t="s">
        <v>396</v>
      </c>
      <c r="J56">
        <v>2.355072463768116E-2</v>
      </c>
      <c r="K56">
        <v>1.0833333333333333</v>
      </c>
    </row>
    <row r="57" spans="9:11">
      <c r="I57" t="s">
        <v>400</v>
      </c>
      <c r="J57">
        <v>1.8115942028985508E-2</v>
      </c>
      <c r="K57">
        <v>0.83333333333333337</v>
      </c>
    </row>
    <row r="58" spans="9:11">
      <c r="J58">
        <v>0.63043478260869557</v>
      </c>
      <c r="K58">
        <v>28.999999999999996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57C5-6948-49C3-929B-948B492CD29C}">
  <dimension ref="A1:L106"/>
  <sheetViews>
    <sheetView tabSelected="1" topLeftCell="H9" workbookViewId="0">
      <selection activeCell="N28" sqref="N28"/>
    </sheetView>
  </sheetViews>
  <sheetFormatPr defaultColWidth="8.85546875" defaultRowHeight="15"/>
  <cols>
    <col min="5" max="5" width="18.7109375" customWidth="1"/>
    <col min="11" max="11" width="24.85546875" bestFit="1" customWidth="1"/>
  </cols>
  <sheetData>
    <row r="1" spans="1:12">
      <c r="A1" t="s">
        <v>435</v>
      </c>
      <c r="B1">
        <v>0.66666666666666663</v>
      </c>
    </row>
    <row r="2" spans="1:12">
      <c r="A2" t="s">
        <v>407</v>
      </c>
      <c r="B2">
        <v>0.83333333333333337</v>
      </c>
      <c r="D2" s="16"/>
      <c r="H2" s="16"/>
    </row>
    <row r="3" spans="1:12">
      <c r="A3" t="s">
        <v>337</v>
      </c>
      <c r="B3">
        <v>1</v>
      </c>
      <c r="H3" s="16"/>
      <c r="K3" t="s">
        <v>512</v>
      </c>
      <c r="L3">
        <v>56.403966351802246</v>
      </c>
    </row>
    <row r="4" spans="1:12">
      <c r="A4" t="s">
        <v>396</v>
      </c>
      <c r="B4">
        <v>1.0833333333333333</v>
      </c>
      <c r="D4" s="16"/>
      <c r="H4" s="16"/>
      <c r="K4" t="s">
        <v>513</v>
      </c>
      <c r="L4">
        <v>12.27501292353964</v>
      </c>
    </row>
    <row r="5" spans="1:12">
      <c r="A5" t="s">
        <v>372</v>
      </c>
      <c r="B5">
        <v>1.5</v>
      </c>
      <c r="D5" s="16"/>
      <c r="H5" s="16"/>
      <c r="K5" t="s">
        <v>514</v>
      </c>
      <c r="L5">
        <v>8.6254053291978003</v>
      </c>
    </row>
    <row r="6" spans="1:12">
      <c r="A6" t="s">
        <v>413</v>
      </c>
      <c r="B6">
        <v>1.5</v>
      </c>
      <c r="H6" s="16"/>
      <c r="I6" s="16"/>
      <c r="K6" t="s">
        <v>515</v>
      </c>
      <c r="L6">
        <v>7.2212040039475536</v>
      </c>
    </row>
    <row r="7" spans="1:12" ht="15.75">
      <c r="A7" s="38" t="s">
        <v>400</v>
      </c>
      <c r="B7">
        <v>1.8333333333333335</v>
      </c>
      <c r="C7" s="27"/>
      <c r="D7" s="27"/>
      <c r="K7" t="s">
        <v>516</v>
      </c>
      <c r="L7">
        <v>6.5162836599464269</v>
      </c>
    </row>
    <row r="8" spans="1:12">
      <c r="A8" t="s">
        <v>362</v>
      </c>
      <c r="B8">
        <v>2</v>
      </c>
      <c r="C8" s="27"/>
      <c r="D8" s="27"/>
      <c r="H8" s="16"/>
      <c r="K8" t="s">
        <v>517</v>
      </c>
      <c r="L8">
        <v>5.9058226420414508</v>
      </c>
    </row>
    <row r="9" spans="1:12" ht="15.75">
      <c r="A9" s="38" t="s">
        <v>368</v>
      </c>
      <c r="B9">
        <v>3</v>
      </c>
      <c r="C9" s="27"/>
      <c r="D9" s="27"/>
      <c r="H9" s="16"/>
      <c r="K9" t="s">
        <v>518</v>
      </c>
      <c r="L9">
        <v>3.052305089524884</v>
      </c>
    </row>
    <row r="10" spans="1:12">
      <c r="A10" t="s">
        <v>477</v>
      </c>
      <c r="B10">
        <v>3.25</v>
      </c>
      <c r="C10" s="27"/>
      <c r="D10" s="27"/>
    </row>
    <row r="11" spans="1:12">
      <c r="A11" t="s">
        <v>437</v>
      </c>
      <c r="B11">
        <v>5.25</v>
      </c>
      <c r="C11" s="27"/>
      <c r="D11" s="27"/>
      <c r="H11" s="16"/>
    </row>
    <row r="12" spans="1:12">
      <c r="A12" t="s">
        <v>324</v>
      </c>
      <c r="B12">
        <v>7.5</v>
      </c>
      <c r="C12" s="27"/>
      <c r="D12" s="27"/>
    </row>
    <row r="13" spans="1:12">
      <c r="A13" t="s">
        <v>361</v>
      </c>
      <c r="B13">
        <v>11.333333333333334</v>
      </c>
      <c r="C13" s="27"/>
      <c r="D13" s="27"/>
      <c r="H13" s="16"/>
    </row>
    <row r="14" spans="1:12">
      <c r="A14" t="s">
        <v>318</v>
      </c>
      <c r="B14">
        <v>12.5</v>
      </c>
      <c r="D14" s="16"/>
      <c r="H14" s="16"/>
    </row>
    <row r="15" spans="1:12">
      <c r="A15" t="s">
        <v>369</v>
      </c>
      <c r="B15">
        <v>13.666666666666664</v>
      </c>
    </row>
    <row r="16" spans="1:12">
      <c r="A16" t="s">
        <v>295</v>
      </c>
      <c r="B16">
        <v>14.833333333333332</v>
      </c>
      <c r="H16" s="16"/>
      <c r="I16" s="16"/>
    </row>
    <row r="17" spans="1:8">
      <c r="A17" t="s">
        <v>404</v>
      </c>
      <c r="B17">
        <v>19.5</v>
      </c>
      <c r="D17" s="16"/>
      <c r="E17" t="s">
        <v>519</v>
      </c>
      <c r="F17">
        <v>19.5</v>
      </c>
      <c r="G17">
        <f>F17/$F$27 *100</f>
        <v>1.6495136049626393</v>
      </c>
    </row>
    <row r="18" spans="1:8" ht="15.75">
      <c r="A18" s="38" t="s">
        <v>381</v>
      </c>
      <c r="B18">
        <v>20.194444444444443</v>
      </c>
      <c r="E18" t="s">
        <v>337</v>
      </c>
      <c r="F18">
        <v>16.583333333333332</v>
      </c>
      <c r="G18">
        <f t="shared" ref="G18:G26" si="0">F18/$F$27 *100</f>
        <v>1.4027914845622447</v>
      </c>
      <c r="H18" s="16"/>
    </row>
    <row r="19" spans="1:8">
      <c r="A19" s="27" t="s">
        <v>321</v>
      </c>
      <c r="B19">
        <v>26.183333333333334</v>
      </c>
      <c r="D19" s="16"/>
      <c r="E19" t="s">
        <v>320</v>
      </c>
      <c r="F19">
        <v>3.25</v>
      </c>
      <c r="G19">
        <f t="shared" si="0"/>
        <v>0.27491893416043994</v>
      </c>
      <c r="H19" s="16"/>
    </row>
    <row r="20" spans="1:8">
      <c r="A20" t="s">
        <v>293</v>
      </c>
      <c r="B20">
        <v>30.033333333333331</v>
      </c>
      <c r="E20" s="27" t="s">
        <v>330</v>
      </c>
      <c r="F20">
        <v>115.67777777777776</v>
      </c>
      <c r="G20">
        <f t="shared" si="0"/>
        <v>9.7852342685276561</v>
      </c>
      <c r="H20" s="16"/>
    </row>
    <row r="21" spans="1:8">
      <c r="A21" s="27" t="s">
        <v>330</v>
      </c>
      <c r="B21">
        <v>49.066666666666663</v>
      </c>
      <c r="E21" t="s">
        <v>317</v>
      </c>
      <c r="F21">
        <v>101.96666666666665</v>
      </c>
      <c r="G21">
        <f t="shared" si="0"/>
        <v>8.6254053291978003</v>
      </c>
    </row>
    <row r="22" spans="1:8">
      <c r="A22" t="s">
        <v>343</v>
      </c>
      <c r="B22">
        <v>57.099999999999994</v>
      </c>
      <c r="D22" s="16"/>
      <c r="E22" s="27" t="s">
        <v>338</v>
      </c>
      <c r="F22">
        <v>26.183333333333334</v>
      </c>
      <c r="G22">
        <f t="shared" si="0"/>
        <v>2.2148597208515439</v>
      </c>
      <c r="H22" s="16"/>
    </row>
    <row r="23" spans="1:8">
      <c r="A23" s="27" t="s">
        <v>327</v>
      </c>
      <c r="B23">
        <v>69.150000000000006</v>
      </c>
      <c r="D23" s="16"/>
      <c r="E23" s="27" t="s">
        <v>327</v>
      </c>
      <c r="F23">
        <v>69.816666666666677</v>
      </c>
      <c r="G23">
        <f t="shared" si="0"/>
        <v>5.9058226420414508</v>
      </c>
      <c r="H23" s="16"/>
    </row>
    <row r="24" spans="1:8">
      <c r="A24" t="s">
        <v>398</v>
      </c>
      <c r="B24">
        <v>77.033333333333331</v>
      </c>
      <c r="D24" s="16"/>
      <c r="E24" t="s">
        <v>398</v>
      </c>
      <c r="F24">
        <v>77.033333333333331</v>
      </c>
      <c r="G24">
        <f t="shared" si="0"/>
        <v>6.5162836599464269</v>
      </c>
    </row>
    <row r="25" spans="1:8">
      <c r="A25" t="s">
        <v>284</v>
      </c>
      <c r="B25">
        <v>85.36666666666666</v>
      </c>
      <c r="E25" t="s">
        <v>283</v>
      </c>
      <c r="F25">
        <v>85.36666666666666</v>
      </c>
      <c r="G25">
        <f t="shared" si="0"/>
        <v>7.2212040039475536</v>
      </c>
    </row>
    <row r="26" spans="1:8">
      <c r="A26" t="s">
        <v>296</v>
      </c>
      <c r="B26">
        <v>666.78888888888889</v>
      </c>
      <c r="E26" t="s">
        <v>520</v>
      </c>
      <c r="F26">
        <v>666.78888888888889</v>
      </c>
      <c r="G26">
        <f t="shared" si="0"/>
        <v>56.403966351802246</v>
      </c>
    </row>
    <row r="27" spans="1:8">
      <c r="D27" s="16"/>
      <c r="F27">
        <f>SUM(F17:F26)</f>
        <v>1182.1666666666665</v>
      </c>
    </row>
    <row r="33" spans="1:8">
      <c r="H33" s="16"/>
    </row>
    <row r="34" spans="1:8">
      <c r="H34" s="16"/>
    </row>
    <row r="35" spans="1:8">
      <c r="H35" s="16"/>
    </row>
    <row r="37" spans="1:8" ht="15.75">
      <c r="A37" s="38"/>
      <c r="H37" s="16"/>
    </row>
    <row r="38" spans="1:8">
      <c r="H38" s="16"/>
    </row>
    <row r="39" spans="1:8" ht="15.75">
      <c r="G39" s="38"/>
      <c r="H39" s="16"/>
    </row>
    <row r="40" spans="1:8" ht="15.75">
      <c r="G40" s="38"/>
      <c r="H40" s="16"/>
    </row>
    <row r="42" spans="1:8">
      <c r="A42" s="27"/>
    </row>
    <row r="47" spans="1:8">
      <c r="A47" s="27"/>
    </row>
    <row r="58" spans="1:1">
      <c r="A58" s="16"/>
    </row>
    <row r="69" spans="1:1">
      <c r="A69" s="27"/>
    </row>
    <row r="89" spans="1:1">
      <c r="A89" s="16"/>
    </row>
    <row r="90" spans="1:1">
      <c r="A90" s="27"/>
    </row>
    <row r="106" spans="1:1">
      <c r="A106" s="27"/>
    </row>
  </sheetData>
  <sortState xmlns:xlrd2="http://schemas.microsoft.com/office/spreadsheetml/2017/richdata2" ref="K3:L12">
    <sortCondition descending="1" ref="L3:L1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F291-42EC-49AF-B8BF-771513B9533D}">
  <dimension ref="A1:BD230"/>
  <sheetViews>
    <sheetView topLeftCell="AG1" workbookViewId="0">
      <selection activeCell="AU19" sqref="AU19"/>
    </sheetView>
  </sheetViews>
  <sheetFormatPr defaultColWidth="8.85546875" defaultRowHeight="15"/>
  <sheetData>
    <row r="1" spans="1:56" ht="15.9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H1" t="s">
        <v>26</v>
      </c>
      <c r="I1" s="5" t="s">
        <v>24</v>
      </c>
      <c r="J1" t="s">
        <v>25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V1" t="s">
        <v>26</v>
      </c>
      <c r="W1" s="13" t="s">
        <v>92</v>
      </c>
      <c r="X1" t="s">
        <v>25</v>
      </c>
      <c r="Y1" s="13" t="s">
        <v>14</v>
      </c>
      <c r="Z1" t="s">
        <v>4</v>
      </c>
      <c r="AA1" s="13" t="s">
        <v>5</v>
      </c>
      <c r="AB1" s="13" t="s">
        <v>6</v>
      </c>
      <c r="AC1" s="13" t="s">
        <v>7</v>
      </c>
      <c r="AD1" s="13" t="s">
        <v>8</v>
      </c>
      <c r="AE1" t="s">
        <v>9</v>
      </c>
      <c r="AH1" t="s">
        <v>26</v>
      </c>
      <c r="AI1" s="13" t="s">
        <v>279</v>
      </c>
      <c r="AJ1" t="s">
        <v>25</v>
      </c>
      <c r="AK1" s="13" t="s">
        <v>14</v>
      </c>
      <c r="AL1" t="s">
        <v>4</v>
      </c>
      <c r="AM1" s="13" t="s">
        <v>5</v>
      </c>
      <c r="AN1" s="13" t="s">
        <v>6</v>
      </c>
      <c r="AO1" s="13" t="s">
        <v>7</v>
      </c>
      <c r="AP1" s="13" t="s">
        <v>8</v>
      </c>
      <c r="AQ1" t="s">
        <v>9</v>
      </c>
      <c r="AT1" t="s">
        <v>26</v>
      </c>
      <c r="AU1" t="s">
        <v>279</v>
      </c>
      <c r="AV1" t="s">
        <v>25</v>
      </c>
      <c r="AW1" t="s">
        <v>14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9</v>
      </c>
    </row>
    <row r="2" spans="1:56" ht="15.95">
      <c r="A2" s="14">
        <v>24.5</v>
      </c>
      <c r="B2" s="14">
        <v>7</v>
      </c>
      <c r="C2" s="14"/>
      <c r="D2" s="14">
        <v>35</v>
      </c>
      <c r="E2" s="6" t="s">
        <v>145</v>
      </c>
      <c r="I2" s="5" t="s">
        <v>10</v>
      </c>
      <c r="J2">
        <v>15</v>
      </c>
      <c r="K2">
        <v>1.5</v>
      </c>
      <c r="L2">
        <v>2</v>
      </c>
      <c r="M2">
        <v>1.5</v>
      </c>
      <c r="N2">
        <v>3.5</v>
      </c>
      <c r="O2">
        <v>0</v>
      </c>
      <c r="P2">
        <v>1</v>
      </c>
      <c r="Q2">
        <v>0</v>
      </c>
      <c r="R2">
        <v>24.5</v>
      </c>
      <c r="W2" s="13" t="s">
        <v>10</v>
      </c>
      <c r="X2" s="13">
        <v>45.333333333333336</v>
      </c>
      <c r="Y2" s="13">
        <v>3.3333333333333335</v>
      </c>
      <c r="Z2" s="13">
        <v>3.6666666666666665</v>
      </c>
      <c r="AA2" s="13">
        <v>2.6666666666666665</v>
      </c>
      <c r="AB2" s="13">
        <v>1</v>
      </c>
      <c r="AC2" s="13"/>
      <c r="AD2" s="13">
        <v>0.66666666666666663</v>
      </c>
      <c r="AE2" s="13">
        <v>2.3333333333333335</v>
      </c>
      <c r="AF2">
        <v>59</v>
      </c>
      <c r="AI2" s="13" t="s">
        <v>10</v>
      </c>
      <c r="AJ2" s="13">
        <f>X2+X7+X12+X17+X22+X27+X32+X37+X42+X47+X52+X57+X62+X67+X77+X72+X82+X87+X92+X97+X102+X107+X112+X117+X122</f>
        <v>974.86666666666667</v>
      </c>
      <c r="AK2" s="13">
        <f t="shared" ref="AK2:AQ4" si="0">Y2+Y7+Y12+Y17+Y22+Y27+Y32+Y37+Y42+Y47+Y52+Y57+Y62+Y67+Y77+Y72+Y82+Y87+Y92+Y97+Y102+Y107+Y112+Y117+Y122</f>
        <v>118.46666666666667</v>
      </c>
      <c r="AL2" s="13">
        <f t="shared" si="0"/>
        <v>19.733333333333334</v>
      </c>
      <c r="AM2" s="13">
        <f t="shared" si="0"/>
        <v>73.466666666666669</v>
      </c>
      <c r="AN2" s="13">
        <f t="shared" si="0"/>
        <v>23.866666666666667</v>
      </c>
      <c r="AO2" s="13">
        <f t="shared" si="0"/>
        <v>5.2666666666666666</v>
      </c>
      <c r="AP2" s="13">
        <f t="shared" si="0"/>
        <v>31.400000000000002</v>
      </c>
      <c r="AQ2" s="13">
        <f t="shared" si="0"/>
        <v>14.733333333333334</v>
      </c>
      <c r="AR2">
        <f>SUM(AJ2:AQ2)</f>
        <v>1261.8</v>
      </c>
      <c r="AU2" t="s">
        <v>10</v>
      </c>
      <c r="AV2" s="2">
        <f>AJ2/$AR$5</f>
        <v>0.51220708255980951</v>
      </c>
      <c r="AW2">
        <f t="shared" ref="AW2:BC4" si="1">AK2/$AR$5</f>
        <v>6.224386143122352E-2</v>
      </c>
      <c r="AX2">
        <f t="shared" si="1"/>
        <v>1.036813898910645E-2</v>
      </c>
      <c r="AY2">
        <f t="shared" si="1"/>
        <v>3.8600301236470638E-2</v>
      </c>
      <c r="AZ2">
        <f t="shared" si="1"/>
        <v>1.2539843777365233E-2</v>
      </c>
      <c r="BA2">
        <f t="shared" si="1"/>
        <v>2.7671722302007079E-3</v>
      </c>
      <c r="BB2">
        <f t="shared" si="1"/>
        <v>1.649795089144979E-2</v>
      </c>
      <c r="BC2">
        <f t="shared" si="1"/>
        <v>7.7410767452450189E-3</v>
      </c>
      <c r="BD2">
        <f>SUM(AV2:BC2)</f>
        <v>0.66296542786087098</v>
      </c>
    </row>
    <row r="3" spans="1:56" ht="15.95">
      <c r="A3" s="14">
        <v>32.5</v>
      </c>
      <c r="B3" s="14">
        <v>5</v>
      </c>
      <c r="C3" s="14"/>
      <c r="D3" s="14">
        <v>40.333333333333336</v>
      </c>
      <c r="E3" s="6" t="s">
        <v>147</v>
      </c>
      <c r="I3" s="5" t="s">
        <v>11</v>
      </c>
      <c r="J3">
        <v>1</v>
      </c>
      <c r="K3">
        <v>0</v>
      </c>
      <c r="L3">
        <v>2.5</v>
      </c>
      <c r="M3">
        <v>0</v>
      </c>
      <c r="N3">
        <v>0</v>
      </c>
      <c r="O3">
        <v>1</v>
      </c>
      <c r="P3">
        <v>2.5</v>
      </c>
      <c r="Q3">
        <v>0</v>
      </c>
      <c r="R3">
        <v>7</v>
      </c>
      <c r="W3" s="13" t="s">
        <v>11</v>
      </c>
      <c r="X3" s="13">
        <v>7</v>
      </c>
      <c r="Y3" s="13">
        <v>1.6666666666666667</v>
      </c>
      <c r="Z3" s="13">
        <v>0.33333333333333331</v>
      </c>
      <c r="AA3" s="13">
        <v>0.33333333333333331</v>
      </c>
      <c r="AB3" s="13">
        <v>4</v>
      </c>
      <c r="AC3" s="13"/>
      <c r="AD3" s="13"/>
      <c r="AE3" s="13"/>
      <c r="AF3">
        <v>13.333333333333334</v>
      </c>
      <c r="AI3" s="13" t="s">
        <v>11</v>
      </c>
      <c r="AJ3" s="13">
        <f>X3+X8+X13+X18+X23+X28+X33+X38+X43+X48+X53+X58+X63+X68+X78+X73+X83+X88+X93+X98+X103+X108+X113+X118+X123</f>
        <v>172.86666666666667</v>
      </c>
      <c r="AK3" s="13">
        <f t="shared" si="0"/>
        <v>22.4</v>
      </c>
      <c r="AL3" s="13">
        <f t="shared" si="0"/>
        <v>2.5</v>
      </c>
      <c r="AM3" s="13">
        <f t="shared" si="0"/>
        <v>3.3000000000000003</v>
      </c>
      <c r="AN3" s="13">
        <f t="shared" si="0"/>
        <v>70.599999999999994</v>
      </c>
      <c r="AO3" s="13">
        <f t="shared" si="0"/>
        <v>2.333333333333333</v>
      </c>
      <c r="AP3" s="13">
        <f t="shared" si="0"/>
        <v>1</v>
      </c>
      <c r="AQ3" s="13">
        <f t="shared" si="0"/>
        <v>29.833333333333332</v>
      </c>
      <c r="AR3">
        <f t="shared" ref="AR3:AR4" si="2">SUM(AJ3:AQ3)</f>
        <v>304.83333333333331</v>
      </c>
      <c r="AU3" t="s">
        <v>11</v>
      </c>
      <c r="AV3" s="2">
        <f t="shared" ref="AV3:AV4" si="3">AJ3/$AR$5</f>
        <v>9.0826298644435893E-2</v>
      </c>
      <c r="AW3">
        <f t="shared" si="1"/>
        <v>1.1769238852499213E-2</v>
      </c>
      <c r="AX3">
        <f t="shared" si="1"/>
        <v>1.3135311219307157E-3</v>
      </c>
      <c r="AY3">
        <f t="shared" si="1"/>
        <v>1.7338610809485449E-3</v>
      </c>
      <c r="AZ3">
        <f t="shared" si="1"/>
        <v>3.709411888332341E-2</v>
      </c>
      <c r="BA3">
        <f t="shared" si="1"/>
        <v>1.225962380468668E-3</v>
      </c>
      <c r="BB3">
        <f t="shared" si="1"/>
        <v>5.2541244877228632E-4</v>
      </c>
      <c r="BC3">
        <f t="shared" si="1"/>
        <v>1.5674804721706542E-2</v>
      </c>
      <c r="BD3">
        <f t="shared" ref="BD3:BD4" si="4">SUM(AV3:BC3)</f>
        <v>0.16016322813408532</v>
      </c>
    </row>
    <row r="4" spans="1:56" ht="15.95">
      <c r="A4" s="14">
        <v>25</v>
      </c>
      <c r="B4" s="14">
        <v>7</v>
      </c>
      <c r="C4" s="14"/>
      <c r="D4" s="14">
        <v>24</v>
      </c>
      <c r="E4" s="6" t="s">
        <v>149</v>
      </c>
      <c r="W4" t="s">
        <v>12</v>
      </c>
      <c r="X4" s="13">
        <v>5</v>
      </c>
      <c r="Y4" s="13"/>
      <c r="Z4" s="13"/>
      <c r="AA4" s="13"/>
      <c r="AB4" s="13">
        <v>9.6666666666666661</v>
      </c>
      <c r="AC4" s="13"/>
      <c r="AD4" s="13"/>
      <c r="AE4" s="13"/>
      <c r="AF4">
        <v>14.666666666666666</v>
      </c>
      <c r="AI4" t="s">
        <v>12</v>
      </c>
      <c r="AJ4" s="13">
        <f t="shared" ref="AJ4" si="5">X4+X9+X14+X19+X24+X29+X34+X39+X44+X49+X54+X59+X64+X69+X79+X74+X84+X89+X94+X99+X104+X109+X114+X119+X124</f>
        <v>146.6</v>
      </c>
      <c r="AK4" s="13">
        <f t="shared" si="0"/>
        <v>0.53333333333333333</v>
      </c>
      <c r="AL4" s="13">
        <f t="shared" si="0"/>
        <v>0</v>
      </c>
      <c r="AM4" s="13">
        <f t="shared" si="0"/>
        <v>0</v>
      </c>
      <c r="AN4" s="13">
        <f t="shared" si="0"/>
        <v>189.5</v>
      </c>
      <c r="AO4" s="13">
        <f t="shared" si="0"/>
        <v>0</v>
      </c>
      <c r="AP4" s="13">
        <f t="shared" si="0"/>
        <v>0</v>
      </c>
      <c r="AQ4" s="13">
        <f t="shared" si="0"/>
        <v>0</v>
      </c>
      <c r="AR4">
        <f t="shared" si="2"/>
        <v>336.63333333333333</v>
      </c>
      <c r="AU4" t="s">
        <v>12</v>
      </c>
      <c r="AV4">
        <f t="shared" si="3"/>
        <v>7.7025464990017167E-2</v>
      </c>
      <c r="AW4">
        <f t="shared" si="1"/>
        <v>2.8021997267855267E-4</v>
      </c>
      <c r="AX4">
        <f t="shared" si="1"/>
        <v>0</v>
      </c>
      <c r="AY4">
        <f t="shared" si="1"/>
        <v>0</v>
      </c>
      <c r="AZ4" s="2">
        <f t="shared" si="1"/>
        <v>9.9565659042348251E-2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4"/>
        <v>0.17687134400504395</v>
      </c>
    </row>
    <row r="5" spans="1:56" ht="15.95">
      <c r="A5" s="14">
        <v>14</v>
      </c>
      <c r="B5" s="14">
        <v>3</v>
      </c>
      <c r="C5" s="14"/>
      <c r="D5" s="14">
        <v>13.5</v>
      </c>
      <c r="E5" s="6" t="s">
        <v>150</v>
      </c>
      <c r="AF5" s="13">
        <v>87</v>
      </c>
      <c r="AR5" s="13">
        <f>SUM(AR2:AR4)</f>
        <v>1903.2666666666664</v>
      </c>
      <c r="BD5">
        <f>SUM(BD2:BD4)</f>
        <v>1.0000000000000002</v>
      </c>
    </row>
    <row r="6" spans="1:56" ht="15.95">
      <c r="A6" s="14">
        <v>22.333333333333332</v>
      </c>
      <c r="B6" s="14">
        <v>2.6666666666666665</v>
      </c>
      <c r="C6" s="14"/>
      <c r="D6" s="14">
        <v>25</v>
      </c>
      <c r="E6" s="6" t="s">
        <v>152</v>
      </c>
      <c r="H6" t="s">
        <v>26</v>
      </c>
      <c r="I6" s="5" t="s">
        <v>27</v>
      </c>
      <c r="J6" t="s">
        <v>25</v>
      </c>
      <c r="K6" t="s">
        <v>3</v>
      </c>
      <c r="L6" t="s">
        <v>4</v>
      </c>
      <c r="M6" t="s">
        <v>5</v>
      </c>
      <c r="N6" t="s">
        <v>6</v>
      </c>
      <c r="O6" t="s">
        <v>7</v>
      </c>
      <c r="P6" t="s">
        <v>8</v>
      </c>
      <c r="Q6" t="s">
        <v>9</v>
      </c>
      <c r="V6" t="s">
        <v>26</v>
      </c>
      <c r="W6" s="13" t="s">
        <v>95</v>
      </c>
      <c r="X6" t="s">
        <v>25</v>
      </c>
      <c r="Y6" s="13" t="s">
        <v>14</v>
      </c>
      <c r="Z6" t="s">
        <v>4</v>
      </c>
      <c r="AA6" s="13" t="s">
        <v>5</v>
      </c>
      <c r="AB6" s="13" t="s">
        <v>6</v>
      </c>
      <c r="AC6" s="13" t="s">
        <v>7</v>
      </c>
      <c r="AD6" s="13" t="s">
        <v>8</v>
      </c>
      <c r="AE6" t="s">
        <v>9</v>
      </c>
    </row>
    <row r="7" spans="1:56" ht="15.95">
      <c r="A7" s="14">
        <v>22.5</v>
      </c>
      <c r="B7" s="14">
        <v>2</v>
      </c>
      <c r="C7" s="14"/>
      <c r="D7" s="14">
        <v>24.5</v>
      </c>
      <c r="E7" s="6" t="s">
        <v>154</v>
      </c>
      <c r="I7" s="5" t="s">
        <v>10</v>
      </c>
      <c r="J7">
        <v>25</v>
      </c>
      <c r="K7">
        <v>1</v>
      </c>
      <c r="L7">
        <v>3</v>
      </c>
      <c r="M7">
        <v>1</v>
      </c>
      <c r="N7">
        <v>2</v>
      </c>
      <c r="O7">
        <v>0.5</v>
      </c>
      <c r="P7">
        <v>0</v>
      </c>
      <c r="Q7">
        <v>0</v>
      </c>
      <c r="R7">
        <v>32.5</v>
      </c>
      <c r="W7" s="13" t="s">
        <v>10</v>
      </c>
      <c r="X7" s="13">
        <v>49.666666666666664</v>
      </c>
      <c r="Y7" s="13">
        <v>1.3333333333333333</v>
      </c>
      <c r="Z7" s="13">
        <v>0.33333333333333331</v>
      </c>
      <c r="AA7" s="13">
        <v>3.3333333333333335</v>
      </c>
      <c r="AB7" s="13">
        <v>0</v>
      </c>
      <c r="AC7" s="13">
        <v>0</v>
      </c>
      <c r="AD7" s="13">
        <v>1</v>
      </c>
      <c r="AE7" s="13">
        <v>0.33333333333333331</v>
      </c>
      <c r="AF7">
        <v>56.000000000000007</v>
      </c>
      <c r="AH7" t="s">
        <v>26</v>
      </c>
      <c r="AI7" s="13" t="s">
        <v>280</v>
      </c>
      <c r="AJ7" t="s">
        <v>25</v>
      </c>
      <c r="AK7" s="13" t="s">
        <v>14</v>
      </c>
      <c r="AL7" t="s">
        <v>4</v>
      </c>
      <c r="AM7" s="13" t="s">
        <v>5</v>
      </c>
      <c r="AN7" s="13" t="s">
        <v>6</v>
      </c>
      <c r="AO7" s="13" t="s">
        <v>7</v>
      </c>
      <c r="AP7" s="13" t="s">
        <v>8</v>
      </c>
      <c r="AQ7" t="s">
        <v>9</v>
      </c>
      <c r="AT7" t="s">
        <v>26</v>
      </c>
      <c r="AU7" t="s">
        <v>280</v>
      </c>
      <c r="AV7" t="s">
        <v>25</v>
      </c>
      <c r="AW7" t="s">
        <v>14</v>
      </c>
      <c r="AX7" t="s">
        <v>4</v>
      </c>
      <c r="AY7" t="s">
        <v>5</v>
      </c>
      <c r="AZ7" t="s">
        <v>6</v>
      </c>
      <c r="BA7" t="s">
        <v>7</v>
      </c>
      <c r="BB7" t="s">
        <v>8</v>
      </c>
      <c r="BC7" t="s">
        <v>9</v>
      </c>
    </row>
    <row r="8" spans="1:56" ht="15.95">
      <c r="A8" s="14">
        <v>8</v>
      </c>
      <c r="B8" s="14">
        <v>5</v>
      </c>
      <c r="C8" s="14"/>
      <c r="D8" s="14">
        <v>14.5</v>
      </c>
      <c r="E8" s="6" t="s">
        <v>155</v>
      </c>
      <c r="I8" s="5" t="s">
        <v>11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5</v>
      </c>
      <c r="W8" s="13" t="s">
        <v>11</v>
      </c>
      <c r="X8" s="13">
        <v>10.666666666666666</v>
      </c>
      <c r="Y8" s="13">
        <v>1</v>
      </c>
      <c r="Z8" s="13">
        <v>0</v>
      </c>
      <c r="AA8" s="13">
        <v>0</v>
      </c>
      <c r="AB8" s="13">
        <v>1.6666666666666667</v>
      </c>
      <c r="AC8" s="13">
        <v>0</v>
      </c>
      <c r="AD8" s="13">
        <v>0</v>
      </c>
      <c r="AE8" s="13">
        <v>0</v>
      </c>
      <c r="AF8">
        <v>13.333333333333332</v>
      </c>
      <c r="AI8" s="13" t="s">
        <v>10</v>
      </c>
      <c r="AJ8" s="13">
        <f>J2+J7+J12+J17+J22+J27+J32+J37+J42+J47+J52+J57+J62+J67+J72+J77+J82+J87+J92+J97+J102+J107+J112+J117+J122+J127+J132+J137+J142+J147+J152+J157+J162+J167+J172+J177+J182+J187+J192+J197+J202+J207+J212+J217+J222+J227</f>
        <v>1327.3333333333335</v>
      </c>
      <c r="AK8" s="13">
        <f t="shared" ref="AK8:AR10" si="6">K2+K7+K12+K17+K22+K27+K32+K37+K42+K47+K52+K57+K62+K67+K72+K77+K82+K87+K92+K97+K102+K107+K112+K117+K122+K127+K132+K137+K142+K147+K152+K157+K162+K167+K172+K177+K182+K187+K192+K197+K202+K207+K212+K217+K222+K227</f>
        <v>123.66666666666666</v>
      </c>
      <c r="AL8" s="13">
        <f t="shared" si="6"/>
        <v>14.333333333333332</v>
      </c>
      <c r="AM8" s="13">
        <f t="shared" si="6"/>
        <v>108.49999999999999</v>
      </c>
      <c r="AN8" s="13">
        <f t="shared" si="6"/>
        <v>41.5</v>
      </c>
      <c r="AO8" s="13">
        <f t="shared" si="6"/>
        <v>15.333333333333334</v>
      </c>
      <c r="AP8" s="13">
        <f t="shared" si="6"/>
        <v>30.333333333333332</v>
      </c>
      <c r="AQ8" s="13">
        <f t="shared" si="6"/>
        <v>17.166666666666664</v>
      </c>
      <c r="AR8" s="13">
        <f>R2+R7+R12+R17+R22+R27+R32+R37+R42+R47+R52+R57+R62+R67+R72+R77+R82+R87+R92+R97+R102+R107+R112+R117+R122+R127+R132+R137+R142+R147+R152+R157+R162+R167+R172+R177+R182+R187+R192+R197+R202+R207+R212+R217+R222+R227</f>
        <v>1678.1666666666667</v>
      </c>
      <c r="AS8" s="13"/>
      <c r="AU8" t="s">
        <v>10</v>
      </c>
      <c r="AV8" s="2">
        <f>AJ8/$AR$11</f>
        <v>0.53050892619237944</v>
      </c>
      <c r="AW8">
        <f t="shared" ref="AW8:BC10" si="7">AK8/$AR$11</f>
        <v>4.9427124966693312E-2</v>
      </c>
      <c r="AX8">
        <f t="shared" si="7"/>
        <v>5.7287503330668791E-3</v>
      </c>
      <c r="AY8">
        <f t="shared" si="7"/>
        <v>4.3365307753796954E-2</v>
      </c>
      <c r="AZ8">
        <f t="shared" si="7"/>
        <v>1.6586730615507594E-2</v>
      </c>
      <c r="BA8">
        <f t="shared" si="7"/>
        <v>6.1284305888622435E-3</v>
      </c>
      <c r="BB8">
        <f t="shared" si="7"/>
        <v>1.2123634425792699E-2</v>
      </c>
      <c r="BC8">
        <f t="shared" si="7"/>
        <v>6.8611777244870758E-3</v>
      </c>
      <c r="BD8">
        <f>SUM(AV8:BC8)</f>
        <v>0.6707300826005862</v>
      </c>
    </row>
    <row r="9" spans="1:56" ht="15.95">
      <c r="A9" s="14">
        <v>17</v>
      </c>
      <c r="B9" s="14">
        <v>6</v>
      </c>
      <c r="C9" s="14"/>
      <c r="D9" s="14">
        <v>20</v>
      </c>
      <c r="E9" s="6" t="s">
        <v>157</v>
      </c>
      <c r="W9" t="s">
        <v>12</v>
      </c>
      <c r="X9" s="13">
        <v>3.3333333333333335</v>
      </c>
      <c r="Y9" s="13">
        <v>0</v>
      </c>
      <c r="Z9" s="13">
        <v>0</v>
      </c>
      <c r="AA9" s="13">
        <v>0</v>
      </c>
      <c r="AB9" s="13">
        <v>3</v>
      </c>
      <c r="AC9" s="13">
        <v>0</v>
      </c>
      <c r="AD9" s="13">
        <v>0</v>
      </c>
      <c r="AE9" s="13">
        <v>0</v>
      </c>
      <c r="AF9">
        <v>6.3333333333333339</v>
      </c>
      <c r="AI9" s="13" t="s">
        <v>11</v>
      </c>
      <c r="AJ9" s="13">
        <f t="shared" ref="AJ9:AJ10" si="8">J3+J8+J13+J18+J23+J28+J33+J38+J43+J48+J53+J58+J63+J68+J73+J78+J83+J88+J93+J98+J103+J108+J113+J118+J123+J128+J133+J138+J143+J148+J153+J158+J163+J168+J173+J178+J183+J188+J193+J198+J203+J208+J213+J218+J223+J228</f>
        <v>363.5</v>
      </c>
      <c r="AK9" s="13">
        <f t="shared" si="6"/>
        <v>54.5</v>
      </c>
      <c r="AL9" s="13">
        <f t="shared" si="6"/>
        <v>15.166666666666668</v>
      </c>
      <c r="AM9" s="13">
        <f t="shared" si="6"/>
        <v>0.66666666666666663</v>
      </c>
      <c r="AN9" s="13">
        <f t="shared" si="6"/>
        <v>132.33333333333331</v>
      </c>
      <c r="AO9" s="13">
        <f t="shared" si="6"/>
        <v>1.3333333333333333</v>
      </c>
      <c r="AP9" s="13">
        <f t="shared" si="6"/>
        <v>4.5</v>
      </c>
      <c r="AQ9" s="13">
        <f t="shared" si="6"/>
        <v>1.6666666666666665</v>
      </c>
      <c r="AR9" s="13">
        <f t="shared" si="6"/>
        <v>573.66666666666663</v>
      </c>
      <c r="AS9" s="13"/>
      <c r="AU9" t="s">
        <v>11</v>
      </c>
      <c r="AV9" s="2">
        <f t="shared" ref="AV9:AV10" si="9">AJ9/$AR$11</f>
        <v>0.14528377298161471</v>
      </c>
      <c r="AW9">
        <f t="shared" si="7"/>
        <v>2.1782573940847323E-2</v>
      </c>
      <c r="AX9">
        <f t="shared" si="7"/>
        <v>6.0618172128963504E-3</v>
      </c>
      <c r="AY9">
        <f t="shared" si="7"/>
        <v>2.664535038635758E-4</v>
      </c>
      <c r="AZ9">
        <f t="shared" si="7"/>
        <v>5.2891020516919789E-2</v>
      </c>
      <c r="BA9">
        <f t="shared" si="7"/>
        <v>5.329070077271516E-4</v>
      </c>
      <c r="BB9">
        <f t="shared" si="7"/>
        <v>1.7985611510791368E-3</v>
      </c>
      <c r="BC9">
        <f t="shared" si="7"/>
        <v>6.6613375965893945E-4</v>
      </c>
      <c r="BD9">
        <f t="shared" ref="BD9:BD10" si="10">SUM(AV9:BC9)</f>
        <v>0.22928324007460696</v>
      </c>
    </row>
    <row r="10" spans="1:56" ht="15.95">
      <c r="A10" s="14">
        <v>19</v>
      </c>
      <c r="B10" s="14">
        <v>3</v>
      </c>
      <c r="C10" s="14"/>
      <c r="D10" s="14">
        <v>19</v>
      </c>
      <c r="E10" s="6" t="s">
        <v>159</v>
      </c>
      <c r="AF10" s="13">
        <v>75.666666666666671</v>
      </c>
      <c r="AI10" t="s">
        <v>12</v>
      </c>
      <c r="AJ10" s="13">
        <f t="shared" si="8"/>
        <v>131</v>
      </c>
      <c r="AK10" s="13">
        <f t="shared" si="6"/>
        <v>2</v>
      </c>
      <c r="AL10" s="13">
        <f t="shared" si="6"/>
        <v>0</v>
      </c>
      <c r="AM10" s="13">
        <f t="shared" si="6"/>
        <v>0</v>
      </c>
      <c r="AN10" s="13">
        <f t="shared" si="6"/>
        <v>117.16666666666666</v>
      </c>
      <c r="AO10" s="13">
        <f t="shared" si="6"/>
        <v>0</v>
      </c>
      <c r="AP10" s="13">
        <f t="shared" si="6"/>
        <v>0</v>
      </c>
      <c r="AQ10" s="13">
        <f t="shared" si="6"/>
        <v>0</v>
      </c>
      <c r="AR10" s="13">
        <f t="shared" si="6"/>
        <v>250.16666666666666</v>
      </c>
      <c r="AS10" s="13"/>
      <c r="AU10" t="s">
        <v>12</v>
      </c>
      <c r="AV10">
        <f t="shared" si="9"/>
        <v>5.2358113509192644E-2</v>
      </c>
      <c r="AW10">
        <f t="shared" si="7"/>
        <v>7.993605115907274E-4</v>
      </c>
      <c r="AX10">
        <f t="shared" si="7"/>
        <v>0</v>
      </c>
      <c r="AY10">
        <f t="shared" si="7"/>
        <v>0</v>
      </c>
      <c r="AZ10">
        <f t="shared" si="7"/>
        <v>4.6829203304023445E-2</v>
      </c>
      <c r="BA10">
        <f t="shared" si="7"/>
        <v>0</v>
      </c>
      <c r="BB10">
        <f t="shared" si="7"/>
        <v>0</v>
      </c>
      <c r="BC10">
        <f t="shared" si="7"/>
        <v>0</v>
      </c>
      <c r="BD10">
        <f t="shared" si="10"/>
        <v>9.9986677324806816E-2</v>
      </c>
    </row>
    <row r="11" spans="1:56" ht="15.95">
      <c r="A11" s="14">
        <v>22</v>
      </c>
      <c r="B11" s="14">
        <v>3</v>
      </c>
      <c r="C11" s="14"/>
      <c r="D11" s="14">
        <v>20.5</v>
      </c>
      <c r="E11" s="6" t="s">
        <v>160</v>
      </c>
      <c r="H11" t="s">
        <v>26</v>
      </c>
      <c r="I11" s="5" t="s">
        <v>28</v>
      </c>
      <c r="J11" t="s">
        <v>25</v>
      </c>
      <c r="K11" t="s">
        <v>3</v>
      </c>
      <c r="L11" t="s">
        <v>4</v>
      </c>
      <c r="M11" t="s">
        <v>5</v>
      </c>
      <c r="N11" t="s">
        <v>6</v>
      </c>
      <c r="O11" t="s">
        <v>7</v>
      </c>
      <c r="P11" t="s">
        <v>8</v>
      </c>
      <c r="Q11" t="s">
        <v>9</v>
      </c>
      <c r="V11" t="s">
        <v>26</v>
      </c>
      <c r="W11" s="13" t="s">
        <v>96</v>
      </c>
      <c r="X11" t="s">
        <v>25</v>
      </c>
      <c r="Y11" s="13" t="s">
        <v>14</v>
      </c>
      <c r="Z11" t="s">
        <v>4</v>
      </c>
      <c r="AA11" s="13" t="s">
        <v>5</v>
      </c>
      <c r="AB11" s="13" t="s">
        <v>6</v>
      </c>
      <c r="AC11" s="13" t="s">
        <v>7</v>
      </c>
      <c r="AD11" s="13" t="s">
        <v>8</v>
      </c>
      <c r="AE11" t="s">
        <v>9</v>
      </c>
      <c r="AR11" s="13">
        <f>SUM(AR8:AR10)</f>
        <v>2502</v>
      </c>
      <c r="BD11">
        <f>SUM(BD8:BD10)</f>
        <v>1</v>
      </c>
    </row>
    <row r="12" spans="1:56" ht="15.95">
      <c r="A12" s="14">
        <v>27</v>
      </c>
      <c r="B12" s="14">
        <v>2</v>
      </c>
      <c r="C12" s="14"/>
      <c r="D12" s="14">
        <v>24</v>
      </c>
      <c r="E12" s="6" t="s">
        <v>161</v>
      </c>
      <c r="I12" s="5" t="s">
        <v>10</v>
      </c>
      <c r="J12">
        <v>24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25</v>
      </c>
      <c r="W12" s="13" t="s">
        <v>10</v>
      </c>
      <c r="X12" s="13">
        <v>18</v>
      </c>
      <c r="Y12" s="13">
        <v>2</v>
      </c>
      <c r="Z12" s="13">
        <v>0</v>
      </c>
      <c r="AA12" s="13">
        <v>2</v>
      </c>
      <c r="AB12" s="13">
        <v>1.5</v>
      </c>
      <c r="AC12" s="13">
        <v>0</v>
      </c>
      <c r="AD12" s="13">
        <v>0</v>
      </c>
      <c r="AE12" s="13">
        <v>0.5</v>
      </c>
      <c r="AF12">
        <v>24</v>
      </c>
    </row>
    <row r="13" spans="1:56" ht="15.95">
      <c r="A13" s="14">
        <v>37</v>
      </c>
      <c r="B13" s="14">
        <v>1</v>
      </c>
      <c r="C13" s="14"/>
      <c r="D13" s="14">
        <v>34</v>
      </c>
      <c r="E13" s="6" t="s">
        <v>162</v>
      </c>
      <c r="I13" s="5" t="s">
        <v>11</v>
      </c>
      <c r="J13">
        <v>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W13" s="13" t="s">
        <v>11</v>
      </c>
      <c r="X13" s="13">
        <v>5.5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3">
        <v>0</v>
      </c>
      <c r="AE13" s="13">
        <v>0</v>
      </c>
      <c r="AF13">
        <v>6.5</v>
      </c>
    </row>
    <row r="14" spans="1:56" ht="15.95">
      <c r="A14" s="14">
        <v>64.5</v>
      </c>
      <c r="B14" s="14">
        <v>22</v>
      </c>
      <c r="C14" s="14"/>
      <c r="D14" s="14">
        <v>83</v>
      </c>
      <c r="E14" s="6" t="s">
        <v>163</v>
      </c>
      <c r="W14" t="s">
        <v>12</v>
      </c>
      <c r="X14" s="13">
        <v>16.5</v>
      </c>
      <c r="Y14" s="13">
        <v>0</v>
      </c>
      <c r="Z14" s="13">
        <v>0</v>
      </c>
      <c r="AA14" s="13">
        <v>0</v>
      </c>
      <c r="AB14" s="13">
        <v>60.5</v>
      </c>
      <c r="AC14" s="13">
        <v>0</v>
      </c>
      <c r="AD14" s="13">
        <v>0</v>
      </c>
      <c r="AE14" s="13">
        <v>0</v>
      </c>
      <c r="AF14">
        <v>77</v>
      </c>
    </row>
    <row r="15" spans="1:56" ht="15.95">
      <c r="A15" s="14">
        <v>28</v>
      </c>
      <c r="B15" s="14">
        <v>2</v>
      </c>
      <c r="C15" s="14"/>
      <c r="D15" s="14">
        <v>40.666666666666664</v>
      </c>
      <c r="E15" s="6" t="s">
        <v>164</v>
      </c>
      <c r="AF15" s="13">
        <v>107.5</v>
      </c>
      <c r="AR15">
        <f>AR11+AR5</f>
        <v>4405.2666666666664</v>
      </c>
    </row>
    <row r="16" spans="1:56" ht="15.95">
      <c r="A16" s="14">
        <v>18</v>
      </c>
      <c r="B16" s="14">
        <v>2</v>
      </c>
      <c r="C16" s="14"/>
      <c r="D16" s="14">
        <v>26.5</v>
      </c>
      <c r="E16" s="6" t="s">
        <v>165</v>
      </c>
      <c r="H16" t="s">
        <v>26</v>
      </c>
      <c r="I16" s="5" t="s">
        <v>29</v>
      </c>
      <c r="J16" t="s">
        <v>25</v>
      </c>
      <c r="K16" t="s">
        <v>3</v>
      </c>
      <c r="L16" t="s">
        <v>4</v>
      </c>
      <c r="M16" t="s">
        <v>5</v>
      </c>
      <c r="N16" t="s">
        <v>6</v>
      </c>
      <c r="O16" t="s">
        <v>7</v>
      </c>
      <c r="P16" t="s">
        <v>8</v>
      </c>
      <c r="Q16" t="s">
        <v>9</v>
      </c>
      <c r="V16" t="s">
        <v>26</v>
      </c>
      <c r="W16" s="13" t="s">
        <v>97</v>
      </c>
      <c r="X16" t="s">
        <v>25</v>
      </c>
      <c r="Y16" s="13" t="s">
        <v>14</v>
      </c>
      <c r="Z16" t="s">
        <v>4</v>
      </c>
      <c r="AA16" s="13" t="s">
        <v>5</v>
      </c>
      <c r="AB16" s="13" t="s">
        <v>6</v>
      </c>
      <c r="AC16" s="13" t="s">
        <v>7</v>
      </c>
      <c r="AD16" s="13" t="s">
        <v>8</v>
      </c>
      <c r="AE16" t="s">
        <v>9</v>
      </c>
      <c r="AR16">
        <f>68/AR15</f>
        <v>1.5436068947774634E-2</v>
      </c>
    </row>
    <row r="17" spans="1:44" ht="15.95">
      <c r="A17" s="14">
        <v>21</v>
      </c>
      <c r="B17" s="14">
        <v>3</v>
      </c>
      <c r="C17" s="14"/>
      <c r="D17" s="14">
        <v>28</v>
      </c>
      <c r="E17" s="6" t="s">
        <v>166</v>
      </c>
      <c r="I17" s="5" t="s">
        <v>10</v>
      </c>
      <c r="J17">
        <v>11</v>
      </c>
      <c r="K17">
        <v>0</v>
      </c>
      <c r="L17">
        <v>0</v>
      </c>
      <c r="M17">
        <v>2</v>
      </c>
      <c r="N17">
        <v>0</v>
      </c>
      <c r="O17">
        <v>0</v>
      </c>
      <c r="P17">
        <v>1</v>
      </c>
      <c r="Q17">
        <v>0</v>
      </c>
      <c r="R17">
        <v>14</v>
      </c>
      <c r="W17" s="13" t="s">
        <v>10</v>
      </c>
      <c r="X17" s="13">
        <v>25.6</v>
      </c>
      <c r="Y17" s="13">
        <v>2.6</v>
      </c>
      <c r="Z17" s="13">
        <v>0.2</v>
      </c>
      <c r="AA17" s="13">
        <v>0.8</v>
      </c>
      <c r="AB17" s="13">
        <v>1</v>
      </c>
      <c r="AC17" s="13">
        <v>0</v>
      </c>
      <c r="AD17" s="13">
        <v>1</v>
      </c>
      <c r="AE17" s="13">
        <v>0</v>
      </c>
      <c r="AF17">
        <v>31.200000000000003</v>
      </c>
    </row>
    <row r="18" spans="1:44" ht="15.95">
      <c r="A18" s="14">
        <v>31</v>
      </c>
      <c r="B18" s="14">
        <v>3</v>
      </c>
      <c r="C18" s="14"/>
      <c r="D18" s="14">
        <v>34</v>
      </c>
      <c r="E18" s="6" t="s">
        <v>167</v>
      </c>
      <c r="I18" s="5" t="s">
        <v>11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W18" s="13" t="s">
        <v>11</v>
      </c>
      <c r="X18" s="13">
        <v>6.4</v>
      </c>
      <c r="Y18" s="13">
        <v>1.2</v>
      </c>
      <c r="Z18" s="13">
        <v>0</v>
      </c>
      <c r="AA18" s="13">
        <v>0.2</v>
      </c>
      <c r="AB18" s="13">
        <v>1.2</v>
      </c>
      <c r="AC18" s="13">
        <v>0</v>
      </c>
      <c r="AD18" s="13">
        <v>0</v>
      </c>
      <c r="AE18" s="13">
        <v>0</v>
      </c>
      <c r="AF18">
        <v>9</v>
      </c>
    </row>
    <row r="19" spans="1:44" ht="15.95">
      <c r="A19" s="14">
        <v>140</v>
      </c>
      <c r="B19" s="14"/>
      <c r="C19" s="14"/>
      <c r="D19" s="14">
        <v>63</v>
      </c>
      <c r="E19" s="6" t="s">
        <v>168</v>
      </c>
      <c r="W19" t="s">
        <v>12</v>
      </c>
      <c r="X19" s="13">
        <v>2.2000000000000002</v>
      </c>
      <c r="Y19" s="13">
        <v>0</v>
      </c>
      <c r="Z19" s="13">
        <v>0</v>
      </c>
      <c r="AA19" s="13">
        <v>0</v>
      </c>
      <c r="AB19" s="13">
        <v>3.6</v>
      </c>
      <c r="AC19" s="13">
        <v>0</v>
      </c>
      <c r="AD19" s="13">
        <v>0</v>
      </c>
      <c r="AE19" s="13">
        <v>0</v>
      </c>
      <c r="AF19">
        <v>5.8000000000000007</v>
      </c>
    </row>
    <row r="20" spans="1:44" ht="15.95">
      <c r="A20" s="14">
        <v>13</v>
      </c>
      <c r="B20" s="14">
        <v>2</v>
      </c>
      <c r="C20" s="14"/>
      <c r="D20" s="14">
        <v>11.666666666666666</v>
      </c>
      <c r="E20" s="6" t="s">
        <v>169</v>
      </c>
      <c r="AF20" s="13">
        <v>46</v>
      </c>
      <c r="AR20">
        <f>142+125</f>
        <v>267</v>
      </c>
    </row>
    <row r="21" spans="1:44" ht="15.95">
      <c r="A21" s="14">
        <v>19</v>
      </c>
      <c r="B21" s="14">
        <v>1</v>
      </c>
      <c r="C21" s="14"/>
      <c r="D21" s="14">
        <v>20.333333333333332</v>
      </c>
      <c r="E21" s="6" t="s">
        <v>170</v>
      </c>
      <c r="H21" t="s">
        <v>26</v>
      </c>
      <c r="I21" s="5" t="s">
        <v>30</v>
      </c>
      <c r="J21" t="s">
        <v>25</v>
      </c>
      <c r="K21" t="s">
        <v>3</v>
      </c>
      <c r="L21" t="s">
        <v>4</v>
      </c>
      <c r="M21" t="s">
        <v>5</v>
      </c>
      <c r="N21" t="s">
        <v>6</v>
      </c>
      <c r="O21" t="s">
        <v>7</v>
      </c>
      <c r="P21" t="s">
        <v>8</v>
      </c>
      <c r="Q21" t="s">
        <v>9</v>
      </c>
      <c r="V21" t="s">
        <v>26</v>
      </c>
      <c r="W21" s="13" t="s">
        <v>98</v>
      </c>
      <c r="X21" t="s">
        <v>25</v>
      </c>
      <c r="Y21" s="13" t="s">
        <v>14</v>
      </c>
      <c r="Z21" t="s">
        <v>4</v>
      </c>
      <c r="AA21" s="13" t="s">
        <v>5</v>
      </c>
      <c r="AB21" s="13" t="s">
        <v>6</v>
      </c>
      <c r="AC21" s="13" t="s">
        <v>7</v>
      </c>
      <c r="AD21" s="13" t="s">
        <v>8</v>
      </c>
      <c r="AE21" t="s">
        <v>9</v>
      </c>
      <c r="AR21">
        <f>AR20/AR15</f>
        <v>6.0609270721409224E-2</v>
      </c>
    </row>
    <row r="22" spans="1:44" ht="15.95">
      <c r="A22" s="14">
        <v>6</v>
      </c>
      <c r="B22" s="14">
        <v>1</v>
      </c>
      <c r="C22" s="14"/>
      <c r="D22" s="14">
        <v>12.333333333333334</v>
      </c>
      <c r="E22" s="6" t="s">
        <v>171</v>
      </c>
      <c r="I22" s="5" t="s">
        <v>10</v>
      </c>
      <c r="J22">
        <v>22</v>
      </c>
      <c r="K22">
        <v>1</v>
      </c>
      <c r="L22">
        <v>0</v>
      </c>
      <c r="M22">
        <v>3</v>
      </c>
      <c r="N22">
        <v>0</v>
      </c>
      <c r="O22">
        <v>0</v>
      </c>
      <c r="P22">
        <v>1</v>
      </c>
      <c r="Q22">
        <v>0</v>
      </c>
      <c r="R22">
        <v>27</v>
      </c>
      <c r="W22" s="13" t="s">
        <v>10</v>
      </c>
      <c r="X22" s="13">
        <v>54.6</v>
      </c>
      <c r="Y22" s="13">
        <v>13.2</v>
      </c>
      <c r="Z22" s="13">
        <v>0.2</v>
      </c>
      <c r="AA22" s="13">
        <v>2</v>
      </c>
      <c r="AB22" s="13">
        <v>2.2000000000000002</v>
      </c>
      <c r="AC22" s="13">
        <v>0.6</v>
      </c>
      <c r="AD22" s="13">
        <v>0.4</v>
      </c>
      <c r="AE22" s="13">
        <v>0.4</v>
      </c>
      <c r="AF22">
        <v>73.600000000000009</v>
      </c>
    </row>
    <row r="23" spans="1:44" ht="15.95">
      <c r="A23" s="14">
        <v>30</v>
      </c>
      <c r="B23" s="14">
        <v>15</v>
      </c>
      <c r="C23" s="14">
        <v>1</v>
      </c>
      <c r="D23" s="14">
        <v>33.75</v>
      </c>
      <c r="E23" s="6" t="s">
        <v>172</v>
      </c>
      <c r="I23" s="5" t="s">
        <v>11</v>
      </c>
      <c r="J23">
        <v>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W23" s="13" t="s">
        <v>11</v>
      </c>
      <c r="X23" s="13">
        <v>11.8</v>
      </c>
      <c r="Y23" s="13">
        <v>2.2000000000000002</v>
      </c>
      <c r="Z23" s="13">
        <v>0</v>
      </c>
      <c r="AA23" s="13">
        <v>0.6</v>
      </c>
      <c r="AB23" s="13">
        <v>0.4</v>
      </c>
      <c r="AC23" s="13">
        <v>0</v>
      </c>
      <c r="AD23" s="13">
        <v>0</v>
      </c>
      <c r="AE23" s="13">
        <v>0</v>
      </c>
      <c r="AF23">
        <v>15</v>
      </c>
    </row>
    <row r="24" spans="1:44" ht="15.95">
      <c r="A24" s="14">
        <v>29</v>
      </c>
      <c r="B24" s="14">
        <v>8.6666666666666661</v>
      </c>
      <c r="C24" s="14">
        <v>0.5</v>
      </c>
      <c r="D24" s="14">
        <v>36.25</v>
      </c>
      <c r="E24" s="6" t="s">
        <v>173</v>
      </c>
      <c r="W24" t="s">
        <v>12</v>
      </c>
      <c r="X24" s="13">
        <v>1.4</v>
      </c>
      <c r="Y24" s="13">
        <v>0.2</v>
      </c>
      <c r="Z24" s="13">
        <v>0</v>
      </c>
      <c r="AA24" s="13">
        <v>0</v>
      </c>
      <c r="AB24" s="13">
        <v>1.4</v>
      </c>
      <c r="AC24" s="13">
        <v>0</v>
      </c>
      <c r="AD24" s="13">
        <v>0</v>
      </c>
      <c r="AE24" s="13">
        <v>0</v>
      </c>
      <c r="AF24">
        <v>3</v>
      </c>
    </row>
    <row r="25" spans="1:44" ht="15.95">
      <c r="A25" s="14">
        <v>20.5</v>
      </c>
      <c r="B25" s="14">
        <v>10.5</v>
      </c>
      <c r="C25" s="14">
        <v>2.5</v>
      </c>
      <c r="D25" s="14">
        <v>22</v>
      </c>
      <c r="E25" s="6" t="s">
        <v>174</v>
      </c>
      <c r="AF25" s="13">
        <v>91.600000000000009</v>
      </c>
    </row>
    <row r="26" spans="1:44" ht="15.95">
      <c r="A26" s="14">
        <v>72.5</v>
      </c>
      <c r="B26" s="14">
        <v>24</v>
      </c>
      <c r="C26" s="14">
        <v>25.5</v>
      </c>
      <c r="D26" s="14">
        <v>75.25</v>
      </c>
      <c r="E26" s="6" t="s">
        <v>175</v>
      </c>
      <c r="H26" t="s">
        <v>26</v>
      </c>
      <c r="I26" s="5" t="s">
        <v>31</v>
      </c>
      <c r="J26" t="s">
        <v>25</v>
      </c>
      <c r="K26" t="s">
        <v>3</v>
      </c>
      <c r="L26" t="s">
        <v>4</v>
      </c>
      <c r="M26" t="s">
        <v>5</v>
      </c>
      <c r="N26" t="s">
        <v>6</v>
      </c>
      <c r="O26" t="s">
        <v>7</v>
      </c>
      <c r="P26" t="s">
        <v>8</v>
      </c>
      <c r="Q26" t="s">
        <v>9</v>
      </c>
      <c r="V26" t="s">
        <v>26</v>
      </c>
      <c r="W26" s="13" t="s">
        <v>99</v>
      </c>
      <c r="X26" t="s">
        <v>25</v>
      </c>
      <c r="Y26" s="13" t="s">
        <v>14</v>
      </c>
      <c r="Z26" t="s">
        <v>4</v>
      </c>
      <c r="AA26" s="13" t="s">
        <v>5</v>
      </c>
      <c r="AB26" s="13" t="s">
        <v>6</v>
      </c>
      <c r="AC26" s="13" t="s">
        <v>7</v>
      </c>
      <c r="AD26" s="13" t="s">
        <v>8</v>
      </c>
      <c r="AE26" t="s">
        <v>9</v>
      </c>
    </row>
    <row r="27" spans="1:44" ht="15.95">
      <c r="A27" s="14">
        <v>96.333333333333329</v>
      </c>
      <c r="B27" s="14">
        <v>43.666666666666664</v>
      </c>
      <c r="C27" s="14">
        <v>13</v>
      </c>
      <c r="D27" s="14">
        <v>129.75</v>
      </c>
      <c r="E27" s="6" t="s">
        <v>176</v>
      </c>
      <c r="I27" s="5" t="s">
        <v>10</v>
      </c>
      <c r="J27">
        <v>14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16</v>
      </c>
      <c r="W27" s="13" t="s">
        <v>10</v>
      </c>
      <c r="X27" s="13">
        <v>25.333333333333332</v>
      </c>
      <c r="Y27" s="13">
        <v>4.333333333333333</v>
      </c>
      <c r="Z27" s="13">
        <v>0.33333333333333331</v>
      </c>
      <c r="AA27" s="13">
        <v>1.3333333333333333</v>
      </c>
      <c r="AB27" s="13">
        <v>0</v>
      </c>
      <c r="AC27" s="13">
        <v>0</v>
      </c>
      <c r="AD27" s="13">
        <v>0.33333333333333331</v>
      </c>
      <c r="AE27" s="13">
        <v>0</v>
      </c>
      <c r="AF27">
        <v>31.666666666666661</v>
      </c>
    </row>
    <row r="28" spans="1:44" ht="15.95">
      <c r="A28" s="14">
        <v>77</v>
      </c>
      <c r="B28" s="14">
        <v>22</v>
      </c>
      <c r="C28" s="14">
        <v>16.5</v>
      </c>
      <c r="D28" s="14">
        <v>72.75</v>
      </c>
      <c r="E28" s="6" t="s">
        <v>177</v>
      </c>
      <c r="I28" s="5" t="s">
        <v>11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W28" s="13" t="s">
        <v>11</v>
      </c>
      <c r="X28" s="13">
        <v>11</v>
      </c>
      <c r="Y28" s="13">
        <v>2</v>
      </c>
      <c r="Z28" s="13">
        <v>0</v>
      </c>
      <c r="AA28" s="13">
        <v>0.33333333333333331</v>
      </c>
      <c r="AB28" s="13">
        <v>0.33333333333333331</v>
      </c>
      <c r="AC28" s="13">
        <v>0</v>
      </c>
      <c r="AD28" s="13">
        <v>0</v>
      </c>
      <c r="AE28" s="13">
        <v>0</v>
      </c>
      <c r="AF28">
        <v>13.666666666666668</v>
      </c>
    </row>
    <row r="29" spans="1:44" ht="15.95">
      <c r="A29" s="14">
        <v>29</v>
      </c>
      <c r="B29" s="14"/>
      <c r="C29" s="14"/>
      <c r="D29" s="14">
        <v>31</v>
      </c>
      <c r="E29" s="6" t="s">
        <v>178</v>
      </c>
      <c r="W29" t="s">
        <v>12</v>
      </c>
      <c r="X29" s="13">
        <v>10</v>
      </c>
      <c r="Y29" s="13">
        <v>0.33333333333333331</v>
      </c>
      <c r="Z29" s="13">
        <v>0</v>
      </c>
      <c r="AA29" s="13">
        <v>0</v>
      </c>
      <c r="AB29" s="13">
        <v>19.666666666666668</v>
      </c>
      <c r="AC29" s="13">
        <v>0</v>
      </c>
      <c r="AD29" s="13">
        <v>0</v>
      </c>
      <c r="AE29" s="13">
        <v>0</v>
      </c>
      <c r="AF29">
        <v>30</v>
      </c>
    </row>
    <row r="30" spans="1:44" ht="15.95">
      <c r="A30" s="14">
        <v>42</v>
      </c>
      <c r="B30" s="14"/>
      <c r="C30" s="14"/>
      <c r="D30" s="14">
        <v>42</v>
      </c>
      <c r="E30" s="6" t="s">
        <v>179</v>
      </c>
      <c r="AF30" s="13">
        <v>75.333333333333329</v>
      </c>
    </row>
    <row r="31" spans="1:44" ht="15.95">
      <c r="A31" s="14">
        <v>30</v>
      </c>
      <c r="B31" s="14"/>
      <c r="C31" s="14"/>
      <c r="D31" s="14">
        <v>30</v>
      </c>
      <c r="E31" s="6" t="s">
        <v>180</v>
      </c>
      <c r="H31" t="s">
        <v>26</v>
      </c>
      <c r="I31" s="5" t="s">
        <v>32</v>
      </c>
      <c r="J31" t="s">
        <v>25</v>
      </c>
      <c r="K31" t="s">
        <v>3</v>
      </c>
      <c r="L31" t="s">
        <v>4</v>
      </c>
      <c r="M31" t="s">
        <v>5</v>
      </c>
      <c r="N31" t="s">
        <v>6</v>
      </c>
      <c r="O31" t="s">
        <v>7</v>
      </c>
      <c r="P31" t="s">
        <v>8</v>
      </c>
      <c r="Q31" t="s">
        <v>9</v>
      </c>
      <c r="V31" t="s">
        <v>26</v>
      </c>
      <c r="W31" s="13" t="s">
        <v>100</v>
      </c>
      <c r="X31" t="s">
        <v>25</v>
      </c>
      <c r="Y31" s="13" t="s">
        <v>14</v>
      </c>
      <c r="Z31" t="s">
        <v>4</v>
      </c>
      <c r="AA31" s="13" t="s">
        <v>5</v>
      </c>
      <c r="AB31" s="13" t="s">
        <v>6</v>
      </c>
      <c r="AC31" s="13" t="s">
        <v>7</v>
      </c>
      <c r="AD31" s="13" t="s">
        <v>8</v>
      </c>
      <c r="AE31" t="s">
        <v>9</v>
      </c>
    </row>
    <row r="32" spans="1:44" ht="15.95">
      <c r="A32" s="14">
        <v>29</v>
      </c>
      <c r="B32" s="14"/>
      <c r="C32" s="14"/>
      <c r="D32" s="14">
        <v>29</v>
      </c>
      <c r="E32" s="6" t="s">
        <v>181</v>
      </c>
      <c r="I32" s="5" t="s">
        <v>10</v>
      </c>
      <c r="J32">
        <v>5</v>
      </c>
      <c r="K32">
        <v>0</v>
      </c>
      <c r="L32">
        <v>0</v>
      </c>
      <c r="M32">
        <v>2</v>
      </c>
      <c r="N32">
        <v>0</v>
      </c>
      <c r="O32">
        <v>1</v>
      </c>
      <c r="P32">
        <v>0</v>
      </c>
      <c r="Q32">
        <v>0</v>
      </c>
      <c r="R32">
        <v>8</v>
      </c>
      <c r="W32" s="13" t="s">
        <v>10</v>
      </c>
      <c r="X32" s="13">
        <v>63</v>
      </c>
      <c r="Y32" s="13">
        <v>5</v>
      </c>
      <c r="Z32" s="13">
        <v>2</v>
      </c>
      <c r="AA32" s="13">
        <v>2.6666666666666665</v>
      </c>
      <c r="AB32" s="13">
        <v>2.6666666666666665</v>
      </c>
      <c r="AC32" s="13">
        <v>2.6666666666666665</v>
      </c>
      <c r="AD32" s="13">
        <v>0.33333333333333331</v>
      </c>
      <c r="AE32" s="13">
        <v>0.66666666666666663</v>
      </c>
      <c r="AF32">
        <v>79.000000000000014</v>
      </c>
    </row>
    <row r="33" spans="1:32" ht="15.95">
      <c r="A33" s="14">
        <v>35</v>
      </c>
      <c r="B33" s="14"/>
      <c r="C33" s="14"/>
      <c r="D33" s="14">
        <v>35</v>
      </c>
      <c r="E33" s="6" t="s">
        <v>182</v>
      </c>
      <c r="I33" s="5" t="s">
        <v>11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W33" s="13" t="s">
        <v>11</v>
      </c>
      <c r="X33" s="13">
        <v>11.666666666666666</v>
      </c>
      <c r="Y33" s="13">
        <v>0.33333333333333331</v>
      </c>
      <c r="Z33" s="13">
        <v>0.33333333333333331</v>
      </c>
      <c r="AA33" s="13">
        <v>0</v>
      </c>
      <c r="AB33" s="13">
        <v>6</v>
      </c>
      <c r="AC33" s="13">
        <v>0.33333333333333331</v>
      </c>
      <c r="AD33" s="13">
        <v>0</v>
      </c>
      <c r="AE33" s="13">
        <v>0</v>
      </c>
      <c r="AF33">
        <v>18.666666666666668</v>
      </c>
    </row>
    <row r="34" spans="1:32" ht="15.95">
      <c r="A34" s="14">
        <v>45</v>
      </c>
      <c r="B34" s="14"/>
      <c r="C34" s="14"/>
      <c r="D34" s="14">
        <v>45</v>
      </c>
      <c r="E34" s="6" t="s">
        <v>183</v>
      </c>
      <c r="W34" t="s">
        <v>12</v>
      </c>
      <c r="X34" s="13">
        <v>4.666666666666667</v>
      </c>
      <c r="Y34" s="13">
        <v>0</v>
      </c>
      <c r="Z34" s="13">
        <v>0</v>
      </c>
      <c r="AA34" s="13">
        <v>0</v>
      </c>
      <c r="AB34" s="13">
        <v>20.666666666666668</v>
      </c>
      <c r="AC34" s="13">
        <v>0</v>
      </c>
      <c r="AD34" s="13">
        <v>0</v>
      </c>
      <c r="AE34" s="13">
        <v>0</v>
      </c>
      <c r="AF34">
        <v>25.333333333333336</v>
      </c>
    </row>
    <row r="35" spans="1:32" ht="15.95">
      <c r="A35" s="14">
        <v>95</v>
      </c>
      <c r="B35" s="14">
        <v>1</v>
      </c>
      <c r="C35" s="14"/>
      <c r="D35" s="14">
        <v>96</v>
      </c>
      <c r="E35" s="6" t="s">
        <v>184</v>
      </c>
      <c r="AF35" s="13">
        <v>123.00000000000003</v>
      </c>
    </row>
    <row r="36" spans="1:32" ht="15.95">
      <c r="A36" s="14">
        <v>129</v>
      </c>
      <c r="B36" s="14">
        <v>5</v>
      </c>
      <c r="C36" s="14"/>
      <c r="D36" s="14">
        <v>134</v>
      </c>
      <c r="E36" s="6" t="s">
        <v>185</v>
      </c>
      <c r="H36" t="s">
        <v>26</v>
      </c>
      <c r="I36" s="5" t="s">
        <v>33</v>
      </c>
      <c r="J36" t="s">
        <v>25</v>
      </c>
      <c r="K36" t="s">
        <v>3</v>
      </c>
      <c r="L36" t="s">
        <v>4</v>
      </c>
      <c r="M36" t="s">
        <v>5</v>
      </c>
      <c r="N36" t="s">
        <v>6</v>
      </c>
      <c r="O36" t="s">
        <v>7</v>
      </c>
      <c r="P36" t="s">
        <v>8</v>
      </c>
      <c r="Q36" t="s">
        <v>9</v>
      </c>
      <c r="V36" t="s">
        <v>26</v>
      </c>
      <c r="W36" s="13" t="s">
        <v>101</v>
      </c>
      <c r="X36" t="s">
        <v>25</v>
      </c>
      <c r="Y36" s="13" t="s">
        <v>14</v>
      </c>
      <c r="Z36" t="s">
        <v>4</v>
      </c>
      <c r="AA36" s="13" t="s">
        <v>5</v>
      </c>
      <c r="AB36" s="13" t="s">
        <v>6</v>
      </c>
      <c r="AC36" s="13" t="s">
        <v>7</v>
      </c>
      <c r="AD36" s="13" t="s">
        <v>8</v>
      </c>
      <c r="AE36" t="s">
        <v>9</v>
      </c>
    </row>
    <row r="37" spans="1:32" ht="15.95">
      <c r="A37" s="14">
        <v>172</v>
      </c>
      <c r="B37" s="14">
        <v>6</v>
      </c>
      <c r="C37" s="14"/>
      <c r="D37" s="14">
        <v>178</v>
      </c>
      <c r="E37" s="6" t="s">
        <v>186</v>
      </c>
      <c r="I37" s="5" t="s">
        <v>10</v>
      </c>
      <c r="J37">
        <v>12</v>
      </c>
      <c r="K37">
        <v>2</v>
      </c>
      <c r="L37">
        <v>0</v>
      </c>
      <c r="M37">
        <v>2</v>
      </c>
      <c r="N37">
        <v>0</v>
      </c>
      <c r="O37">
        <v>0</v>
      </c>
      <c r="P37">
        <v>1</v>
      </c>
      <c r="Q37">
        <v>0</v>
      </c>
      <c r="R37">
        <v>17</v>
      </c>
      <c r="W37" s="13" t="s">
        <v>10</v>
      </c>
      <c r="X37" s="13">
        <v>84.5</v>
      </c>
      <c r="Y37" s="13">
        <v>11</v>
      </c>
      <c r="Z37" s="13">
        <v>1.5</v>
      </c>
      <c r="AA37" s="13">
        <v>10.5</v>
      </c>
      <c r="AB37" s="13">
        <v>3</v>
      </c>
      <c r="AC37" s="13">
        <v>1</v>
      </c>
      <c r="AD37" s="13">
        <v>4</v>
      </c>
      <c r="AE37" s="13">
        <v>2</v>
      </c>
      <c r="AF37">
        <v>117.5</v>
      </c>
    </row>
    <row r="38" spans="1:32" ht="15.95">
      <c r="A38" s="14">
        <v>126</v>
      </c>
      <c r="B38" s="14">
        <v>4</v>
      </c>
      <c r="C38" s="14"/>
      <c r="D38" s="14">
        <v>130</v>
      </c>
      <c r="E38" s="6" t="s">
        <v>187</v>
      </c>
      <c r="I38" s="5" t="s">
        <v>11</v>
      </c>
      <c r="J38">
        <v>4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6</v>
      </c>
      <c r="W38" s="13" t="s">
        <v>11</v>
      </c>
      <c r="X38" s="13">
        <v>8</v>
      </c>
      <c r="Y38" s="13">
        <v>2</v>
      </c>
      <c r="Z38" s="13">
        <v>0</v>
      </c>
      <c r="AA38" s="13">
        <v>0</v>
      </c>
      <c r="AB38" s="13">
        <v>2.5</v>
      </c>
      <c r="AC38" s="13">
        <v>0.5</v>
      </c>
      <c r="AD38" s="13">
        <v>0.5</v>
      </c>
      <c r="AE38" s="13">
        <v>0</v>
      </c>
      <c r="AF38">
        <v>13.5</v>
      </c>
    </row>
    <row r="39" spans="1:32" ht="15.95">
      <c r="A39" s="14">
        <v>126</v>
      </c>
      <c r="B39" s="14">
        <v>2</v>
      </c>
      <c r="C39" s="14"/>
      <c r="D39" s="14">
        <v>128</v>
      </c>
      <c r="E39" s="6" t="s">
        <v>188</v>
      </c>
      <c r="W39" t="s">
        <v>12</v>
      </c>
      <c r="X39" s="13">
        <v>2.5</v>
      </c>
      <c r="Y39" s="13">
        <v>0</v>
      </c>
      <c r="Z39" s="13">
        <v>0</v>
      </c>
      <c r="AA39" s="13">
        <v>0</v>
      </c>
      <c r="AB39" s="13">
        <v>2.5</v>
      </c>
      <c r="AC39" s="13">
        <v>0</v>
      </c>
      <c r="AD39" s="13">
        <v>0</v>
      </c>
      <c r="AE39" s="13">
        <v>0</v>
      </c>
      <c r="AF39">
        <v>5</v>
      </c>
    </row>
    <row r="40" spans="1:32" ht="15.95">
      <c r="A40" s="14">
        <v>134</v>
      </c>
      <c r="B40" s="14">
        <v>26</v>
      </c>
      <c r="C40" s="14"/>
      <c r="D40" s="14">
        <v>160</v>
      </c>
      <c r="E40" s="6" t="s">
        <v>189</v>
      </c>
      <c r="AF40" s="13">
        <v>136</v>
      </c>
    </row>
    <row r="41" spans="1:32" ht="15.95">
      <c r="A41" s="14">
        <v>83</v>
      </c>
      <c r="B41" s="14"/>
      <c r="C41" s="14"/>
      <c r="D41" s="14">
        <v>83</v>
      </c>
      <c r="E41" s="6" t="s">
        <v>190</v>
      </c>
      <c r="H41" t="s">
        <v>26</v>
      </c>
      <c r="I41" s="5" t="s">
        <v>34</v>
      </c>
      <c r="J41" t="s">
        <v>25</v>
      </c>
      <c r="K41" t="s">
        <v>3</v>
      </c>
      <c r="L41" t="s">
        <v>4</v>
      </c>
      <c r="M41" t="s">
        <v>5</v>
      </c>
      <c r="N41" t="s">
        <v>6</v>
      </c>
      <c r="O41" t="s">
        <v>7</v>
      </c>
      <c r="P41" t="s">
        <v>8</v>
      </c>
      <c r="Q41" t="s">
        <v>9</v>
      </c>
      <c r="V41" t="s">
        <v>26</v>
      </c>
      <c r="W41" s="13" t="s">
        <v>102</v>
      </c>
      <c r="X41" t="s">
        <v>25</v>
      </c>
      <c r="Y41" s="13" t="s">
        <v>14</v>
      </c>
      <c r="Z41" t="s">
        <v>4</v>
      </c>
      <c r="AA41" s="13" t="s">
        <v>5</v>
      </c>
      <c r="AB41" s="13" t="s">
        <v>6</v>
      </c>
      <c r="AC41" s="13" t="s">
        <v>7</v>
      </c>
      <c r="AD41" s="13" t="s">
        <v>8</v>
      </c>
      <c r="AE41" t="s">
        <v>9</v>
      </c>
    </row>
    <row r="42" spans="1:32" ht="15.95">
      <c r="A42" s="14">
        <v>99</v>
      </c>
      <c r="B42" s="14"/>
      <c r="C42" s="14"/>
      <c r="D42" s="14">
        <v>99</v>
      </c>
      <c r="E42" s="6" t="s">
        <v>191</v>
      </c>
      <c r="I42" s="5" t="s">
        <v>10</v>
      </c>
      <c r="J42">
        <v>16</v>
      </c>
      <c r="K42">
        <v>0</v>
      </c>
      <c r="L42">
        <v>0</v>
      </c>
      <c r="M42">
        <v>2</v>
      </c>
      <c r="N42">
        <v>1</v>
      </c>
      <c r="O42">
        <v>0</v>
      </c>
      <c r="P42">
        <v>0</v>
      </c>
      <c r="Q42">
        <v>0</v>
      </c>
      <c r="R42">
        <v>19</v>
      </c>
      <c r="W42" s="13" t="s">
        <v>10</v>
      </c>
      <c r="X42" s="13">
        <v>77</v>
      </c>
      <c r="Y42" s="13">
        <v>10</v>
      </c>
      <c r="Z42" s="13">
        <v>0</v>
      </c>
      <c r="AA42" s="13">
        <v>8.5</v>
      </c>
      <c r="AB42" s="13">
        <v>2.5</v>
      </c>
      <c r="AC42" s="13">
        <v>0.5</v>
      </c>
      <c r="AD42" s="13">
        <v>1</v>
      </c>
      <c r="AE42" s="13">
        <v>2</v>
      </c>
      <c r="AF42">
        <v>101.5</v>
      </c>
    </row>
    <row r="43" spans="1:32" ht="15.95">
      <c r="A43" s="14">
        <v>75</v>
      </c>
      <c r="B43" s="14"/>
      <c r="C43" s="14"/>
      <c r="D43" s="14">
        <v>75</v>
      </c>
      <c r="E43" s="6" t="s">
        <v>192</v>
      </c>
      <c r="I43" s="5" t="s">
        <v>11</v>
      </c>
      <c r="J43">
        <v>2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</v>
      </c>
      <c r="W43" s="13" t="s">
        <v>11</v>
      </c>
      <c r="X43" s="13">
        <v>8</v>
      </c>
      <c r="Y43" s="13">
        <v>2</v>
      </c>
      <c r="Z43" s="13">
        <v>0</v>
      </c>
      <c r="AA43" s="13">
        <v>0</v>
      </c>
      <c r="AB43" s="13">
        <v>0.5</v>
      </c>
      <c r="AC43" s="13">
        <v>0</v>
      </c>
      <c r="AD43" s="13">
        <v>0.5</v>
      </c>
      <c r="AE43" s="13">
        <v>0</v>
      </c>
      <c r="AF43">
        <v>11</v>
      </c>
    </row>
    <row r="44" spans="1:32" ht="15.95">
      <c r="A44" s="14">
        <v>10</v>
      </c>
      <c r="B44" s="14"/>
      <c r="C44" s="14"/>
      <c r="D44" s="14">
        <v>10</v>
      </c>
      <c r="E44" s="6" t="s">
        <v>193</v>
      </c>
      <c r="W44" t="s">
        <v>12</v>
      </c>
      <c r="X44" s="13">
        <v>1</v>
      </c>
      <c r="Y44" s="13">
        <v>0</v>
      </c>
      <c r="Z44" s="13">
        <v>0</v>
      </c>
      <c r="AA44" s="13">
        <v>0</v>
      </c>
      <c r="AB44" s="13">
        <v>10</v>
      </c>
      <c r="AC44" s="13">
        <v>0</v>
      </c>
      <c r="AD44" s="13">
        <v>0</v>
      </c>
      <c r="AE44" s="13">
        <v>0</v>
      </c>
      <c r="AF44">
        <v>11</v>
      </c>
    </row>
    <row r="45" spans="1:32" ht="15.95">
      <c r="A45" s="14">
        <v>17.5</v>
      </c>
      <c r="B45" s="14">
        <v>5</v>
      </c>
      <c r="C45" s="14"/>
      <c r="D45" s="14">
        <v>22.5</v>
      </c>
      <c r="E45" s="6" t="s">
        <v>194</v>
      </c>
      <c r="AF45" s="13">
        <v>123.5</v>
      </c>
    </row>
    <row r="46" spans="1:32" ht="15.95">
      <c r="A46" s="14">
        <v>9</v>
      </c>
      <c r="B46" s="14">
        <v>2.5</v>
      </c>
      <c r="C46" s="14"/>
      <c r="D46" s="14">
        <v>11.5</v>
      </c>
      <c r="E46" s="6" t="s">
        <v>195</v>
      </c>
      <c r="H46" t="s">
        <v>26</v>
      </c>
      <c r="I46" s="5" t="s">
        <v>35</v>
      </c>
      <c r="J46" t="s">
        <v>25</v>
      </c>
      <c r="K46" t="s">
        <v>3</v>
      </c>
      <c r="L46" t="s">
        <v>4</v>
      </c>
      <c r="M46" t="s">
        <v>5</v>
      </c>
      <c r="N46" t="s">
        <v>6</v>
      </c>
      <c r="O46" t="s">
        <v>7</v>
      </c>
      <c r="P46" t="s">
        <v>8</v>
      </c>
      <c r="Q46" t="s">
        <v>9</v>
      </c>
      <c r="V46" t="s">
        <v>26</v>
      </c>
      <c r="W46" s="13" t="s">
        <v>103</v>
      </c>
      <c r="X46" t="s">
        <v>25</v>
      </c>
      <c r="Y46" s="13" t="s">
        <v>14</v>
      </c>
      <c r="Z46" t="s">
        <v>4</v>
      </c>
      <c r="AA46" s="13" t="s">
        <v>5</v>
      </c>
      <c r="AB46" s="13" t="s">
        <v>6</v>
      </c>
      <c r="AC46" s="13" t="s">
        <v>7</v>
      </c>
      <c r="AD46" s="13" t="s">
        <v>8</v>
      </c>
      <c r="AE46" t="s">
        <v>9</v>
      </c>
    </row>
    <row r="47" spans="1:32" ht="15.95">
      <c r="A47" s="14">
        <v>14</v>
      </c>
      <c r="B47" s="14">
        <v>2</v>
      </c>
      <c r="C47" s="14"/>
      <c r="D47" s="14">
        <v>16</v>
      </c>
      <c r="E47" s="6" t="s">
        <v>196</v>
      </c>
      <c r="I47" s="5" t="s">
        <v>10</v>
      </c>
      <c r="J47">
        <v>19</v>
      </c>
      <c r="K47">
        <v>2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22</v>
      </c>
      <c r="W47" s="13" t="s">
        <v>10</v>
      </c>
      <c r="X47" s="13">
        <v>48</v>
      </c>
      <c r="Y47" s="13">
        <v>8.5</v>
      </c>
      <c r="Z47" s="13">
        <v>3.5</v>
      </c>
      <c r="AA47" s="13">
        <v>6</v>
      </c>
      <c r="AB47" s="13">
        <v>1</v>
      </c>
      <c r="AC47" s="13">
        <v>0.5</v>
      </c>
      <c r="AD47" s="13">
        <v>2</v>
      </c>
      <c r="AE47" s="13">
        <v>0</v>
      </c>
      <c r="AF47">
        <v>69.5</v>
      </c>
    </row>
    <row r="48" spans="1:32" ht="15.95">
      <c r="A48" s="14">
        <v>24.5</v>
      </c>
      <c r="B48" s="14">
        <v>4</v>
      </c>
      <c r="C48" s="14"/>
      <c r="D48" s="14">
        <v>28.5</v>
      </c>
      <c r="E48" s="6" t="s">
        <v>197</v>
      </c>
      <c r="I48" s="5" t="s">
        <v>11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W48" s="13" t="s">
        <v>11</v>
      </c>
      <c r="X48" s="13">
        <v>6.5</v>
      </c>
      <c r="Y48" s="13">
        <v>1.5</v>
      </c>
      <c r="Z48" s="13">
        <v>0</v>
      </c>
      <c r="AA48" s="13">
        <v>0</v>
      </c>
      <c r="AB48" s="13">
        <v>3.5</v>
      </c>
      <c r="AC48" s="13">
        <v>1</v>
      </c>
      <c r="AD48" s="13">
        <v>0</v>
      </c>
      <c r="AE48" s="13">
        <v>0</v>
      </c>
      <c r="AF48">
        <v>12.5</v>
      </c>
    </row>
    <row r="49" spans="1:32" ht="15.95">
      <c r="A49" s="14">
        <v>42.5</v>
      </c>
      <c r="B49" s="14">
        <v>1.5</v>
      </c>
      <c r="C49" s="14"/>
      <c r="D49" s="14">
        <v>44</v>
      </c>
      <c r="E49" s="6" t="s">
        <v>198</v>
      </c>
      <c r="W49" t="s">
        <v>12</v>
      </c>
      <c r="X49" s="13">
        <v>3</v>
      </c>
      <c r="Y49" s="13">
        <v>0</v>
      </c>
      <c r="Z49" s="13">
        <v>0</v>
      </c>
      <c r="AA49" s="13">
        <v>0</v>
      </c>
      <c r="AB49" s="13">
        <v>5.5</v>
      </c>
      <c r="AC49" s="13">
        <v>0</v>
      </c>
      <c r="AD49" s="13">
        <v>0</v>
      </c>
      <c r="AE49" s="13">
        <v>0</v>
      </c>
      <c r="AF49">
        <v>8.5</v>
      </c>
    </row>
    <row r="50" spans="1:32" ht="15.95">
      <c r="A50" s="14">
        <v>11</v>
      </c>
      <c r="B50" s="14">
        <v>3</v>
      </c>
      <c r="C50" s="14"/>
      <c r="D50" s="14">
        <v>14</v>
      </c>
      <c r="E50" s="7" t="s">
        <v>199</v>
      </c>
      <c r="AF50" s="13">
        <v>90.5</v>
      </c>
    </row>
    <row r="51" spans="1:32" ht="15.95">
      <c r="A51" s="14">
        <v>26</v>
      </c>
      <c r="B51" s="14">
        <v>2.5</v>
      </c>
      <c r="C51" s="14"/>
      <c r="D51" s="14">
        <v>28.5</v>
      </c>
      <c r="E51" s="6" t="s">
        <v>200</v>
      </c>
      <c r="H51" t="s">
        <v>26</v>
      </c>
      <c r="I51" s="5" t="s">
        <v>36</v>
      </c>
      <c r="J51" t="s">
        <v>25</v>
      </c>
      <c r="K51" t="s">
        <v>3</v>
      </c>
      <c r="L51" t="s">
        <v>4</v>
      </c>
      <c r="M51" t="s">
        <v>5</v>
      </c>
      <c r="N51" t="s">
        <v>6</v>
      </c>
      <c r="O51" t="s">
        <v>7</v>
      </c>
      <c r="P51" t="s">
        <v>8</v>
      </c>
      <c r="Q51" t="s">
        <v>9</v>
      </c>
      <c r="V51" t="s">
        <v>26</v>
      </c>
      <c r="W51" s="13" t="s">
        <v>104</v>
      </c>
      <c r="X51" t="s">
        <v>25</v>
      </c>
      <c r="Y51" s="13" t="s">
        <v>14</v>
      </c>
      <c r="Z51" t="s">
        <v>4</v>
      </c>
      <c r="AA51" s="13" t="s">
        <v>5</v>
      </c>
      <c r="AB51" s="13" t="s">
        <v>6</v>
      </c>
      <c r="AC51" s="13" t="s">
        <v>7</v>
      </c>
      <c r="AD51" s="13" t="s">
        <v>8</v>
      </c>
      <c r="AE51" t="s">
        <v>9</v>
      </c>
    </row>
    <row r="52" spans="1:32" ht="15.95">
      <c r="A52" s="14">
        <v>20</v>
      </c>
      <c r="B52" s="14">
        <v>1</v>
      </c>
      <c r="C52" s="14"/>
      <c r="D52" s="14">
        <v>21</v>
      </c>
      <c r="E52" s="6" t="s">
        <v>201</v>
      </c>
      <c r="I52" s="5" t="s">
        <v>10</v>
      </c>
      <c r="J52">
        <v>20</v>
      </c>
      <c r="K52">
        <v>4</v>
      </c>
      <c r="L52">
        <v>0</v>
      </c>
      <c r="M52">
        <v>0</v>
      </c>
      <c r="N52">
        <v>0</v>
      </c>
      <c r="O52">
        <v>2</v>
      </c>
      <c r="P52">
        <v>1</v>
      </c>
      <c r="Q52">
        <v>0</v>
      </c>
      <c r="R52">
        <v>27</v>
      </c>
      <c r="W52" s="13" t="s">
        <v>10</v>
      </c>
      <c r="X52" s="13">
        <v>51</v>
      </c>
      <c r="Y52" s="13">
        <v>5</v>
      </c>
      <c r="Z52" s="13">
        <v>1.5</v>
      </c>
      <c r="AA52" s="13">
        <v>3.5</v>
      </c>
      <c r="AB52" s="13">
        <v>0</v>
      </c>
      <c r="AC52" s="13">
        <v>0</v>
      </c>
      <c r="AD52" s="13">
        <v>2.5</v>
      </c>
      <c r="AE52" s="13">
        <v>1</v>
      </c>
      <c r="AF52">
        <v>64.5</v>
      </c>
    </row>
    <row r="53" spans="1:32" ht="15.95">
      <c r="A53" s="14">
        <v>48.5</v>
      </c>
      <c r="B53" s="14">
        <v>4</v>
      </c>
      <c r="C53" s="14"/>
      <c r="D53" s="14">
        <v>52.5</v>
      </c>
      <c r="E53" s="6" t="s">
        <v>202</v>
      </c>
      <c r="I53" s="5" t="s">
        <v>11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W53" s="13" t="s">
        <v>11</v>
      </c>
      <c r="X53" s="13">
        <v>13</v>
      </c>
      <c r="Y53" s="13">
        <v>2</v>
      </c>
      <c r="Z53" s="13">
        <v>0.5</v>
      </c>
      <c r="AA53" s="13">
        <v>0</v>
      </c>
      <c r="AB53" s="13">
        <v>2.5</v>
      </c>
      <c r="AC53" s="13">
        <v>0</v>
      </c>
      <c r="AD53" s="13">
        <v>0</v>
      </c>
      <c r="AE53" s="13">
        <v>0</v>
      </c>
      <c r="AF53">
        <v>18</v>
      </c>
    </row>
    <row r="54" spans="1:32" ht="15.95">
      <c r="A54" s="14">
        <v>61</v>
      </c>
      <c r="B54" s="14">
        <v>40</v>
      </c>
      <c r="C54" s="14">
        <v>25</v>
      </c>
      <c r="D54" s="14">
        <v>126</v>
      </c>
      <c r="E54" s="6" t="s">
        <v>203</v>
      </c>
      <c r="W54" t="s">
        <v>12</v>
      </c>
      <c r="X54" s="13">
        <v>5.5</v>
      </c>
      <c r="Y54" s="13">
        <v>0</v>
      </c>
      <c r="Z54" s="13">
        <v>0</v>
      </c>
      <c r="AA54" s="13">
        <v>0</v>
      </c>
      <c r="AB54" s="13">
        <v>3.5</v>
      </c>
      <c r="AC54" s="13">
        <v>0</v>
      </c>
      <c r="AD54" s="13">
        <v>0</v>
      </c>
      <c r="AE54" s="13">
        <v>0</v>
      </c>
      <c r="AF54">
        <v>9</v>
      </c>
    </row>
    <row r="55" spans="1:32" ht="15.95">
      <c r="A55" s="14">
        <v>50</v>
      </c>
      <c r="B55" s="14">
        <v>47</v>
      </c>
      <c r="C55" s="14">
        <v>28</v>
      </c>
      <c r="D55" s="14">
        <v>125</v>
      </c>
      <c r="E55" s="6" t="s">
        <v>204</v>
      </c>
      <c r="AF55" s="13">
        <v>91.5</v>
      </c>
    </row>
    <row r="56" spans="1:32" ht="15.95">
      <c r="A56" s="14">
        <v>58</v>
      </c>
      <c r="B56" s="14">
        <v>33</v>
      </c>
      <c r="C56" s="14">
        <v>19</v>
      </c>
      <c r="D56" s="14">
        <v>110</v>
      </c>
      <c r="E56" s="6" t="s">
        <v>205</v>
      </c>
      <c r="H56" t="s">
        <v>26</v>
      </c>
      <c r="I56" s="5" t="s">
        <v>37</v>
      </c>
      <c r="J56" t="s">
        <v>25</v>
      </c>
      <c r="K56" t="s">
        <v>3</v>
      </c>
      <c r="L56" t="s">
        <v>4</v>
      </c>
      <c r="M56" t="s">
        <v>5</v>
      </c>
      <c r="N56" t="s">
        <v>6</v>
      </c>
      <c r="O56" t="s">
        <v>7</v>
      </c>
      <c r="P56" t="s">
        <v>8</v>
      </c>
      <c r="Q56" t="s">
        <v>9</v>
      </c>
      <c r="V56" t="s">
        <v>26</v>
      </c>
      <c r="W56" s="13" t="s">
        <v>105</v>
      </c>
      <c r="X56" t="s">
        <v>25</v>
      </c>
      <c r="Y56" s="13" t="s">
        <v>14</v>
      </c>
      <c r="Z56" t="s">
        <v>4</v>
      </c>
      <c r="AA56" s="13" t="s">
        <v>5</v>
      </c>
      <c r="AB56" s="13" t="s">
        <v>6</v>
      </c>
      <c r="AC56" s="13" t="s">
        <v>7</v>
      </c>
      <c r="AD56" s="13" t="s">
        <v>8</v>
      </c>
      <c r="AE56" t="s">
        <v>9</v>
      </c>
    </row>
    <row r="57" spans="1:32" ht="15.95">
      <c r="A57" s="14">
        <v>44</v>
      </c>
      <c r="B57" s="14">
        <v>64</v>
      </c>
      <c r="C57" s="14">
        <v>31</v>
      </c>
      <c r="D57" s="14">
        <v>139</v>
      </c>
      <c r="E57" s="6" t="s">
        <v>206</v>
      </c>
      <c r="I57" s="5" t="s">
        <v>10</v>
      </c>
      <c r="J57">
        <v>27</v>
      </c>
      <c r="K57">
        <v>2</v>
      </c>
      <c r="L57">
        <v>4</v>
      </c>
      <c r="M57">
        <v>0</v>
      </c>
      <c r="N57">
        <v>3</v>
      </c>
      <c r="O57">
        <v>1</v>
      </c>
      <c r="P57">
        <v>0</v>
      </c>
      <c r="Q57">
        <v>0</v>
      </c>
      <c r="R57">
        <v>37</v>
      </c>
      <c r="W57" s="13" t="s">
        <v>10</v>
      </c>
      <c r="X57" s="13">
        <v>107.5</v>
      </c>
      <c r="Y57" s="13">
        <v>6</v>
      </c>
      <c r="Z57" s="13">
        <v>1.5</v>
      </c>
      <c r="AA57" s="13">
        <v>4.5</v>
      </c>
      <c r="AB57" s="13">
        <v>3.5</v>
      </c>
      <c r="AC57" s="13">
        <v>0</v>
      </c>
      <c r="AD57" s="13">
        <v>4.5</v>
      </c>
      <c r="AE57" s="13">
        <v>0.5</v>
      </c>
      <c r="AF57">
        <v>128</v>
      </c>
    </row>
    <row r="58" spans="1:32" ht="15.95">
      <c r="A58" s="14">
        <v>60</v>
      </c>
      <c r="B58" s="14">
        <v>172</v>
      </c>
      <c r="C58" s="14">
        <v>57</v>
      </c>
      <c r="D58" s="14">
        <v>289</v>
      </c>
      <c r="E58" s="6" t="s">
        <v>207</v>
      </c>
      <c r="I58" s="5" t="s">
        <v>11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W58" s="13" t="s">
        <v>11</v>
      </c>
      <c r="X58" s="13">
        <v>9</v>
      </c>
      <c r="Y58" s="13">
        <v>1.5</v>
      </c>
      <c r="Z58" s="13">
        <v>0</v>
      </c>
      <c r="AA58" s="13">
        <v>0</v>
      </c>
      <c r="AB58" s="13">
        <v>5</v>
      </c>
      <c r="AC58" s="13">
        <v>0</v>
      </c>
      <c r="AD58" s="13">
        <v>0</v>
      </c>
      <c r="AE58" s="13">
        <v>0</v>
      </c>
      <c r="AF58">
        <v>15.5</v>
      </c>
    </row>
    <row r="59" spans="1:32" ht="15.95">
      <c r="A59" s="14">
        <v>26</v>
      </c>
      <c r="B59" s="14">
        <v>8</v>
      </c>
      <c r="C59" s="14">
        <v>19</v>
      </c>
      <c r="D59" s="14">
        <v>53</v>
      </c>
      <c r="E59" s="6" t="s">
        <v>208</v>
      </c>
      <c r="W59" t="s">
        <v>12</v>
      </c>
      <c r="X59" s="13">
        <v>9</v>
      </c>
      <c r="Y59" s="13">
        <v>0</v>
      </c>
      <c r="Z59" s="13">
        <v>0</v>
      </c>
      <c r="AA59" s="13">
        <v>0</v>
      </c>
      <c r="AB59" s="13">
        <v>12</v>
      </c>
      <c r="AC59" s="13">
        <v>0</v>
      </c>
      <c r="AD59" s="13">
        <v>0</v>
      </c>
      <c r="AE59" s="13">
        <v>0</v>
      </c>
      <c r="AF59">
        <v>21</v>
      </c>
    </row>
    <row r="60" spans="1:32" ht="15.95">
      <c r="A60" s="14">
        <v>24</v>
      </c>
      <c r="B60" s="14">
        <v>5</v>
      </c>
      <c r="C60" s="14">
        <v>8</v>
      </c>
      <c r="D60" s="14">
        <v>37</v>
      </c>
      <c r="E60" s="6" t="s">
        <v>209</v>
      </c>
      <c r="AF60" s="13">
        <v>164.5</v>
      </c>
    </row>
    <row r="61" spans="1:32" ht="15.95">
      <c r="A61" s="14">
        <v>26</v>
      </c>
      <c r="B61" s="14">
        <v>6</v>
      </c>
      <c r="C61" s="14">
        <v>5</v>
      </c>
      <c r="D61" s="14">
        <v>37</v>
      </c>
      <c r="E61" s="6" t="s">
        <v>210</v>
      </c>
      <c r="H61" t="s">
        <v>26</v>
      </c>
      <c r="I61" s="5" t="s">
        <v>38</v>
      </c>
      <c r="J61" t="s">
        <v>25</v>
      </c>
      <c r="K61" t="s">
        <v>3</v>
      </c>
      <c r="L61" t="s">
        <v>4</v>
      </c>
      <c r="M61" t="s">
        <v>5</v>
      </c>
      <c r="N61" t="s">
        <v>6</v>
      </c>
      <c r="O61" t="s">
        <v>7</v>
      </c>
      <c r="P61" t="s">
        <v>8</v>
      </c>
      <c r="Q61" t="s">
        <v>9</v>
      </c>
      <c r="V61" t="s">
        <v>26</v>
      </c>
      <c r="W61" s="13" t="s">
        <v>106</v>
      </c>
      <c r="X61" t="s">
        <v>25</v>
      </c>
      <c r="Y61" s="13" t="s">
        <v>14</v>
      </c>
      <c r="Z61" t="s">
        <v>4</v>
      </c>
      <c r="AA61" s="13" t="s">
        <v>5</v>
      </c>
      <c r="AB61" s="13" t="s">
        <v>6</v>
      </c>
      <c r="AC61" s="13" t="s">
        <v>7</v>
      </c>
      <c r="AD61" s="13" t="s">
        <v>8</v>
      </c>
      <c r="AE61" t="s">
        <v>9</v>
      </c>
    </row>
    <row r="62" spans="1:32" ht="15.95">
      <c r="A62" s="14"/>
      <c r="B62" s="14"/>
      <c r="C62" s="14"/>
      <c r="D62" s="14"/>
      <c r="E62" s="6" t="s">
        <v>211</v>
      </c>
      <c r="I62" s="5" t="s">
        <v>10</v>
      </c>
      <c r="J62">
        <v>20</v>
      </c>
      <c r="K62">
        <v>2</v>
      </c>
      <c r="L62">
        <v>0</v>
      </c>
      <c r="M62">
        <v>3</v>
      </c>
      <c r="N62">
        <v>0</v>
      </c>
      <c r="O62">
        <v>1</v>
      </c>
      <c r="P62">
        <v>0</v>
      </c>
      <c r="R62">
        <v>26</v>
      </c>
      <c r="W62" s="13" t="s">
        <v>10</v>
      </c>
      <c r="X62" s="13">
        <v>41</v>
      </c>
      <c r="Y62" s="13">
        <v>11</v>
      </c>
      <c r="Z62" s="13">
        <v>0</v>
      </c>
      <c r="AA62" s="13">
        <v>1.5</v>
      </c>
      <c r="AB62" s="13">
        <v>1.5</v>
      </c>
      <c r="AC62" s="13">
        <v>0</v>
      </c>
      <c r="AD62" s="13">
        <v>1</v>
      </c>
      <c r="AE62" s="13">
        <v>0</v>
      </c>
      <c r="AF62">
        <v>56</v>
      </c>
    </row>
    <row r="63" spans="1:32" ht="15.95">
      <c r="A63" s="14"/>
      <c r="B63" s="14"/>
      <c r="C63" s="14"/>
      <c r="D63" s="14"/>
      <c r="E63" s="6" t="s">
        <v>212</v>
      </c>
      <c r="I63" s="5" t="s">
        <v>11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2</v>
      </c>
      <c r="W63" s="13" t="s">
        <v>11</v>
      </c>
      <c r="X63" s="13">
        <v>10.5</v>
      </c>
      <c r="Y63" s="13">
        <v>1.5</v>
      </c>
      <c r="Z63" s="13">
        <v>0</v>
      </c>
      <c r="AA63" s="13">
        <v>0</v>
      </c>
      <c r="AB63" s="13">
        <v>17</v>
      </c>
      <c r="AC63" s="13">
        <v>0</v>
      </c>
      <c r="AD63" s="13">
        <v>0</v>
      </c>
      <c r="AE63" s="13">
        <v>0</v>
      </c>
      <c r="AF63">
        <v>29</v>
      </c>
    </row>
    <row r="64" spans="1:32" ht="15.95">
      <c r="A64" s="14"/>
      <c r="B64" s="14"/>
      <c r="C64" s="14"/>
      <c r="D64" s="14"/>
      <c r="E64" s="6" t="s">
        <v>213</v>
      </c>
      <c r="W64" t="s">
        <v>12</v>
      </c>
      <c r="X64" s="13">
        <v>5</v>
      </c>
      <c r="Y64" s="13">
        <v>0</v>
      </c>
      <c r="Z64" s="13">
        <v>0</v>
      </c>
      <c r="AA64" s="13">
        <v>0</v>
      </c>
      <c r="AB64" s="13">
        <v>13.5</v>
      </c>
      <c r="AC64" s="13">
        <v>0</v>
      </c>
      <c r="AD64" s="13">
        <v>0</v>
      </c>
      <c r="AE64" s="13">
        <v>0</v>
      </c>
      <c r="AF64">
        <v>18.5</v>
      </c>
    </row>
    <row r="65" spans="1:32" ht="15.95">
      <c r="D65" s="14">
        <f>SUM(D2:D64)</f>
        <v>3443.0833333333335</v>
      </c>
      <c r="AF65" s="13">
        <v>103.5</v>
      </c>
    </row>
    <row r="66" spans="1:32" ht="15.95">
      <c r="H66" t="s">
        <v>26</v>
      </c>
      <c r="I66" s="5" t="s">
        <v>40</v>
      </c>
      <c r="J66" t="s">
        <v>25</v>
      </c>
      <c r="K66" t="s">
        <v>3</v>
      </c>
      <c r="L66" t="s">
        <v>4</v>
      </c>
      <c r="M66" t="s">
        <v>5</v>
      </c>
      <c r="N66" t="s">
        <v>6</v>
      </c>
      <c r="O66" t="s">
        <v>7</v>
      </c>
      <c r="P66" t="s">
        <v>8</v>
      </c>
      <c r="Q66" t="s">
        <v>9</v>
      </c>
      <c r="V66" t="s">
        <v>26</v>
      </c>
      <c r="W66" s="13" t="s">
        <v>107</v>
      </c>
      <c r="X66" t="s">
        <v>25</v>
      </c>
      <c r="Y66" s="13" t="s">
        <v>14</v>
      </c>
      <c r="Z66" t="s">
        <v>4</v>
      </c>
      <c r="AA66" s="13" t="s">
        <v>5</v>
      </c>
      <c r="AB66" s="13" t="s">
        <v>6</v>
      </c>
      <c r="AC66" s="13" t="s">
        <v>7</v>
      </c>
      <c r="AD66" s="13" t="s">
        <v>8</v>
      </c>
      <c r="AE66" t="s">
        <v>9</v>
      </c>
    </row>
    <row r="67" spans="1:32" ht="15.95">
      <c r="A67" s="14" t="s">
        <v>140</v>
      </c>
      <c r="B67" s="14" t="s">
        <v>141</v>
      </c>
      <c r="C67" s="14" t="s">
        <v>142</v>
      </c>
      <c r="D67" s="14" t="s">
        <v>215</v>
      </c>
      <c r="E67" t="s">
        <v>144</v>
      </c>
      <c r="I67" s="5" t="s">
        <v>10</v>
      </c>
      <c r="J67">
        <v>23</v>
      </c>
      <c r="K67">
        <v>0</v>
      </c>
      <c r="L67">
        <v>0</v>
      </c>
      <c r="M67">
        <v>1</v>
      </c>
      <c r="N67">
        <v>0</v>
      </c>
      <c r="O67">
        <v>3</v>
      </c>
      <c r="P67">
        <v>1</v>
      </c>
      <c r="R67">
        <v>28</v>
      </c>
      <c r="W67" s="13" t="s">
        <v>10</v>
      </c>
      <c r="X67" s="13">
        <v>24</v>
      </c>
      <c r="Y67" s="13">
        <v>6</v>
      </c>
      <c r="Z67" s="13">
        <v>1</v>
      </c>
      <c r="AA67" s="13">
        <v>2</v>
      </c>
      <c r="AB67" s="13">
        <v>1</v>
      </c>
      <c r="AC67" s="13">
        <v>0</v>
      </c>
      <c r="AD67" s="13">
        <v>1.5</v>
      </c>
      <c r="AE67" s="13">
        <v>0</v>
      </c>
      <c r="AF67">
        <v>35.5</v>
      </c>
    </row>
    <row r="68" spans="1:32" ht="15.95">
      <c r="A68" s="14">
        <v>73</v>
      </c>
      <c r="B68" s="14">
        <v>12</v>
      </c>
      <c r="C68" s="14">
        <v>16</v>
      </c>
      <c r="D68" s="14">
        <v>91.666666666666671</v>
      </c>
      <c r="E68" s="8" t="s">
        <v>216</v>
      </c>
      <c r="I68" s="5" t="s">
        <v>11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R68">
        <v>2</v>
      </c>
      <c r="W68" s="13" t="s">
        <v>11</v>
      </c>
      <c r="X68" s="13">
        <v>6</v>
      </c>
      <c r="Y68" s="13">
        <v>1</v>
      </c>
      <c r="Z68" s="13">
        <v>0</v>
      </c>
      <c r="AA68" s="13">
        <v>0</v>
      </c>
      <c r="AB68" s="13">
        <v>8</v>
      </c>
      <c r="AC68" s="13">
        <v>0</v>
      </c>
      <c r="AD68" s="13">
        <v>0</v>
      </c>
      <c r="AE68" s="13">
        <v>0</v>
      </c>
      <c r="AF68">
        <v>15</v>
      </c>
    </row>
    <row r="69" spans="1:32" ht="15.95">
      <c r="A69" s="14">
        <v>69</v>
      </c>
      <c r="B69" s="14">
        <v>16</v>
      </c>
      <c r="C69" s="14">
        <v>6</v>
      </c>
      <c r="D69" s="14">
        <v>83.666666666666671</v>
      </c>
      <c r="E69" s="8" t="s">
        <v>217</v>
      </c>
      <c r="W69" t="s">
        <v>12</v>
      </c>
      <c r="X69" s="13">
        <v>13</v>
      </c>
      <c r="Y69" s="13">
        <v>0</v>
      </c>
      <c r="Z69" s="13">
        <v>0</v>
      </c>
      <c r="AA69" s="13">
        <v>0</v>
      </c>
      <c r="AB69" s="13">
        <v>8</v>
      </c>
      <c r="AC69" s="13">
        <v>0</v>
      </c>
      <c r="AD69" s="13">
        <v>0</v>
      </c>
      <c r="AE69" s="13">
        <v>0</v>
      </c>
      <c r="AF69">
        <v>21</v>
      </c>
    </row>
    <row r="70" spans="1:32" ht="15.95">
      <c r="A70" s="14">
        <v>31</v>
      </c>
      <c r="B70" s="14">
        <v>6.5</v>
      </c>
      <c r="C70" s="14">
        <v>77</v>
      </c>
      <c r="D70" s="14">
        <v>86.666666666666671</v>
      </c>
      <c r="E70" s="8" t="s">
        <v>218</v>
      </c>
      <c r="AF70" s="13">
        <v>71.5</v>
      </c>
    </row>
    <row r="71" spans="1:32" ht="15.95">
      <c r="A71" s="14">
        <v>29.833333333333332</v>
      </c>
      <c r="B71" s="14">
        <v>9</v>
      </c>
      <c r="C71" s="14">
        <v>5.8</v>
      </c>
      <c r="D71" s="14">
        <v>42.166666666666664</v>
      </c>
      <c r="E71" s="8" t="s">
        <v>219</v>
      </c>
      <c r="H71" t="s">
        <v>26</v>
      </c>
      <c r="I71" s="5" t="s">
        <v>41</v>
      </c>
      <c r="J71" t="s">
        <v>25</v>
      </c>
      <c r="K71" t="s">
        <v>3</v>
      </c>
      <c r="L71" t="s">
        <v>4</v>
      </c>
      <c r="M71" t="s">
        <v>5</v>
      </c>
      <c r="N71" t="s">
        <v>6</v>
      </c>
      <c r="O71" t="s">
        <v>7</v>
      </c>
      <c r="P71" t="s">
        <v>8</v>
      </c>
      <c r="Q71" t="s">
        <v>9</v>
      </c>
      <c r="V71" t="s">
        <v>26</v>
      </c>
      <c r="W71" s="13" t="s">
        <v>108</v>
      </c>
      <c r="X71" t="s">
        <v>25</v>
      </c>
      <c r="Y71" s="13" t="s">
        <v>14</v>
      </c>
      <c r="Z71" t="s">
        <v>4</v>
      </c>
      <c r="AA71" s="13" t="s">
        <v>5</v>
      </c>
      <c r="AB71" s="13" t="s">
        <v>6</v>
      </c>
      <c r="AC71" s="13" t="s">
        <v>7</v>
      </c>
      <c r="AD71" s="13" t="s">
        <v>8</v>
      </c>
      <c r="AE71" t="s">
        <v>9</v>
      </c>
    </row>
    <row r="72" spans="1:32" ht="15.95">
      <c r="A72" s="14">
        <v>70.333333333333329</v>
      </c>
      <c r="B72" s="14">
        <v>15</v>
      </c>
      <c r="C72" s="14">
        <v>3</v>
      </c>
      <c r="D72" s="14">
        <v>85.333333333333329</v>
      </c>
      <c r="E72" s="8" t="s">
        <v>220</v>
      </c>
      <c r="I72" s="5" t="s">
        <v>10</v>
      </c>
      <c r="J72">
        <v>12</v>
      </c>
      <c r="K72">
        <v>2</v>
      </c>
      <c r="L72">
        <v>0</v>
      </c>
      <c r="M72">
        <v>3</v>
      </c>
      <c r="N72">
        <v>1</v>
      </c>
      <c r="O72">
        <v>0</v>
      </c>
      <c r="P72">
        <v>0</v>
      </c>
      <c r="R72">
        <v>18</v>
      </c>
      <c r="W72" s="13" t="s">
        <v>10</v>
      </c>
      <c r="X72" s="13">
        <v>21.5</v>
      </c>
      <c r="Y72" s="13">
        <v>6.5</v>
      </c>
      <c r="Z72" s="13">
        <v>0.5</v>
      </c>
      <c r="AA72" s="13">
        <v>0.5</v>
      </c>
      <c r="AB72" s="13">
        <v>0</v>
      </c>
      <c r="AC72" s="13">
        <v>0</v>
      </c>
      <c r="AD72" s="13">
        <v>1.5</v>
      </c>
      <c r="AE72" s="13">
        <v>0.5</v>
      </c>
      <c r="AF72">
        <v>31</v>
      </c>
    </row>
    <row r="73" spans="1:32" ht="15.95">
      <c r="A73" s="14">
        <v>28.25</v>
      </c>
      <c r="B73" s="14">
        <v>13.666666666666666</v>
      </c>
      <c r="C73" s="14">
        <v>30</v>
      </c>
      <c r="D73" s="14">
        <v>61</v>
      </c>
      <c r="E73" s="8" t="s">
        <v>221</v>
      </c>
      <c r="I73" s="5" t="s">
        <v>11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v>2</v>
      </c>
      <c r="W73" s="13" t="s">
        <v>11</v>
      </c>
      <c r="X73" s="13">
        <v>15</v>
      </c>
      <c r="Y73" s="13">
        <v>0</v>
      </c>
      <c r="Z73" s="13">
        <v>0</v>
      </c>
      <c r="AA73" s="13">
        <v>0</v>
      </c>
      <c r="AB73" s="13">
        <v>3</v>
      </c>
      <c r="AC73" s="13">
        <v>0</v>
      </c>
      <c r="AD73" s="13">
        <v>0</v>
      </c>
      <c r="AE73" s="13">
        <v>0</v>
      </c>
      <c r="AF73">
        <v>18</v>
      </c>
    </row>
    <row r="74" spans="1:32" ht="15.95">
      <c r="A74" s="14">
        <v>82.25</v>
      </c>
      <c r="B74" s="14">
        <v>18.666666666666668</v>
      </c>
      <c r="C74" s="14">
        <v>25.333333333333332</v>
      </c>
      <c r="D74" s="14">
        <v>115.25</v>
      </c>
      <c r="E74" s="8" t="s">
        <v>222</v>
      </c>
      <c r="W74" t="s">
        <v>12</v>
      </c>
      <c r="X74" s="13">
        <v>9.5</v>
      </c>
      <c r="Y74" s="13">
        <v>0</v>
      </c>
      <c r="Z74" s="13">
        <v>0</v>
      </c>
      <c r="AA74" s="13">
        <v>0</v>
      </c>
      <c r="AB74" s="13">
        <v>12</v>
      </c>
      <c r="AC74" s="13">
        <v>0</v>
      </c>
      <c r="AD74" s="13">
        <v>0</v>
      </c>
      <c r="AE74" s="13">
        <v>0</v>
      </c>
      <c r="AF74">
        <v>21.5</v>
      </c>
    </row>
    <row r="75" spans="1:32" ht="15.95">
      <c r="A75" s="14">
        <v>134.66666666666666</v>
      </c>
      <c r="B75" s="14">
        <v>9.3333333333333339</v>
      </c>
      <c r="C75" s="14">
        <v>5</v>
      </c>
      <c r="D75" s="14">
        <v>147.33333333333334</v>
      </c>
      <c r="E75" s="8" t="s">
        <v>223</v>
      </c>
      <c r="AF75" s="13">
        <v>70.5</v>
      </c>
    </row>
    <row r="76" spans="1:32" ht="15.95">
      <c r="A76" s="14">
        <v>131</v>
      </c>
      <c r="B76" s="14">
        <v>11</v>
      </c>
      <c r="C76" s="14">
        <v>11</v>
      </c>
      <c r="D76" s="14">
        <v>145.66666666666666</v>
      </c>
      <c r="E76" s="8" t="s">
        <v>224</v>
      </c>
      <c r="H76" t="s">
        <v>26</v>
      </c>
      <c r="I76" s="5" t="s">
        <v>42</v>
      </c>
      <c r="J76" t="s">
        <v>25</v>
      </c>
      <c r="K76" t="s">
        <v>3</v>
      </c>
      <c r="L76" t="s">
        <v>4</v>
      </c>
      <c r="M76" t="s">
        <v>5</v>
      </c>
      <c r="N76" t="s">
        <v>6</v>
      </c>
      <c r="O76" t="s">
        <v>7</v>
      </c>
      <c r="P76" t="s">
        <v>8</v>
      </c>
      <c r="Q76" t="s">
        <v>9</v>
      </c>
      <c r="V76" t="s">
        <v>26</v>
      </c>
      <c r="W76" s="13" t="s">
        <v>109</v>
      </c>
      <c r="X76" t="s">
        <v>25</v>
      </c>
      <c r="Y76" s="13" t="s">
        <v>14</v>
      </c>
      <c r="Z76" t="s">
        <v>4</v>
      </c>
      <c r="AA76" s="13" t="s">
        <v>5</v>
      </c>
      <c r="AB76" s="13" t="s">
        <v>6</v>
      </c>
      <c r="AC76" s="13" t="s">
        <v>7</v>
      </c>
      <c r="AD76" s="13" t="s">
        <v>8</v>
      </c>
      <c r="AE76" t="s">
        <v>9</v>
      </c>
    </row>
    <row r="77" spans="1:32" ht="15.95">
      <c r="A77" s="14">
        <v>86.666666666666671</v>
      </c>
      <c r="B77" s="14">
        <v>12.333333333333334</v>
      </c>
      <c r="C77" s="14">
        <v>17</v>
      </c>
      <c r="D77" s="14">
        <v>104.66666666666667</v>
      </c>
      <c r="E77" s="8" t="s">
        <v>225</v>
      </c>
      <c r="I77" s="5" t="s">
        <v>10</v>
      </c>
      <c r="J77">
        <v>13</v>
      </c>
      <c r="K77">
        <v>2</v>
      </c>
      <c r="L77">
        <v>0</v>
      </c>
      <c r="M77">
        <v>4</v>
      </c>
      <c r="N77">
        <v>1</v>
      </c>
      <c r="O77">
        <v>0</v>
      </c>
      <c r="P77">
        <v>1</v>
      </c>
      <c r="Q77">
        <v>0</v>
      </c>
      <c r="R77">
        <v>21</v>
      </c>
      <c r="W77" s="13" t="s">
        <v>10</v>
      </c>
      <c r="X77" s="13">
        <v>57</v>
      </c>
      <c r="Y77" s="13">
        <v>14</v>
      </c>
      <c r="Z77" s="13">
        <v>1.5</v>
      </c>
      <c r="AA77" s="13">
        <v>5.5</v>
      </c>
      <c r="AB77" s="13">
        <v>2</v>
      </c>
      <c r="AC77" s="13">
        <v>0</v>
      </c>
      <c r="AD77" s="13">
        <v>1.5</v>
      </c>
      <c r="AE77" s="13">
        <v>1</v>
      </c>
      <c r="AF77">
        <v>82.5</v>
      </c>
    </row>
    <row r="78" spans="1:32" ht="15.95">
      <c r="A78" s="14">
        <v>68.333333333333329</v>
      </c>
      <c r="B78" s="14">
        <v>13</v>
      </c>
      <c r="C78" s="14">
        <v>9</v>
      </c>
      <c r="D78" s="14">
        <v>87.333333333333329</v>
      </c>
      <c r="E78" s="8" t="s">
        <v>226</v>
      </c>
      <c r="I78" s="5" t="s">
        <v>11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</v>
      </c>
      <c r="W78" s="13" t="s">
        <v>11</v>
      </c>
      <c r="X78" s="13">
        <v>12.5</v>
      </c>
      <c r="Y78" s="13">
        <v>0</v>
      </c>
      <c r="Z78" s="13">
        <v>0</v>
      </c>
      <c r="AA78" s="13">
        <v>0.5</v>
      </c>
      <c r="AB78" s="13">
        <v>5</v>
      </c>
      <c r="AC78" s="13">
        <v>0</v>
      </c>
      <c r="AD78" s="13">
        <v>0</v>
      </c>
      <c r="AE78" s="13">
        <v>0</v>
      </c>
      <c r="AF78">
        <v>18</v>
      </c>
    </row>
    <row r="79" spans="1:32" ht="15.95">
      <c r="A79" s="14">
        <v>139</v>
      </c>
      <c r="B79" s="14">
        <v>15.5</v>
      </c>
      <c r="C79" s="14">
        <v>21</v>
      </c>
      <c r="D79" s="14">
        <v>163.33333333333334</v>
      </c>
      <c r="E79" s="8" t="s">
        <v>227</v>
      </c>
      <c r="W79" t="s">
        <v>12</v>
      </c>
      <c r="X79" s="13">
        <v>5.5</v>
      </c>
      <c r="Y79" s="13">
        <v>0</v>
      </c>
      <c r="Z79" s="13">
        <v>0</v>
      </c>
      <c r="AA79" s="13">
        <v>0</v>
      </c>
      <c r="AB79" s="13">
        <v>4</v>
      </c>
      <c r="AC79" s="13">
        <v>0</v>
      </c>
      <c r="AD79" s="13">
        <v>0</v>
      </c>
      <c r="AE79" s="13">
        <v>0</v>
      </c>
      <c r="AF79">
        <v>9.5</v>
      </c>
    </row>
    <row r="80" spans="1:32" ht="15.95">
      <c r="A80" s="14">
        <v>60</v>
      </c>
      <c r="B80" s="14">
        <v>16</v>
      </c>
      <c r="C80" s="14">
        <v>29</v>
      </c>
      <c r="D80" s="14">
        <v>90.5</v>
      </c>
      <c r="E80" s="8" t="s">
        <v>228</v>
      </c>
      <c r="AF80" s="13">
        <v>110</v>
      </c>
    </row>
    <row r="81" spans="1:32" ht="15.95">
      <c r="A81" s="14">
        <v>38</v>
      </c>
      <c r="B81" s="14">
        <v>10.5</v>
      </c>
      <c r="C81" s="14">
        <v>23</v>
      </c>
      <c r="D81" s="14">
        <v>60</v>
      </c>
      <c r="E81" s="8" t="s">
        <v>229</v>
      </c>
      <c r="H81" t="s">
        <v>26</v>
      </c>
      <c r="I81" s="5" t="s">
        <v>43</v>
      </c>
      <c r="J81" t="s">
        <v>25</v>
      </c>
      <c r="K81" t="s">
        <v>3</v>
      </c>
      <c r="L81" t="s">
        <v>4</v>
      </c>
      <c r="M81" t="s">
        <v>5</v>
      </c>
      <c r="N81" t="s">
        <v>6</v>
      </c>
      <c r="O81" t="s">
        <v>7</v>
      </c>
      <c r="P81" t="s">
        <v>8</v>
      </c>
      <c r="Q81" t="s">
        <v>9</v>
      </c>
      <c r="V81" t="s">
        <v>26</v>
      </c>
      <c r="W81" s="13" t="s">
        <v>112</v>
      </c>
      <c r="X81" t="s">
        <v>25</v>
      </c>
      <c r="Y81" s="13" t="s">
        <v>14</v>
      </c>
      <c r="Z81" t="s">
        <v>4</v>
      </c>
      <c r="AA81" s="13" t="s">
        <v>5</v>
      </c>
      <c r="AB81" s="13" t="s">
        <v>6</v>
      </c>
      <c r="AC81" s="13" t="s">
        <v>7</v>
      </c>
      <c r="AD81" s="13" t="s">
        <v>8</v>
      </c>
      <c r="AE81" t="s">
        <v>9</v>
      </c>
    </row>
    <row r="82" spans="1:32" ht="15.95">
      <c r="A82" s="14">
        <v>42</v>
      </c>
      <c r="B82" s="14">
        <v>11.5</v>
      </c>
      <c r="C82" s="14">
        <v>28</v>
      </c>
      <c r="D82" s="14">
        <v>67.5</v>
      </c>
      <c r="E82" s="8" t="s">
        <v>230</v>
      </c>
      <c r="I82" s="5" t="s">
        <v>10</v>
      </c>
      <c r="J82">
        <v>21</v>
      </c>
      <c r="K82">
        <v>4</v>
      </c>
      <c r="L82">
        <v>0</v>
      </c>
      <c r="M82">
        <v>1</v>
      </c>
      <c r="N82">
        <v>2</v>
      </c>
      <c r="O82">
        <v>1</v>
      </c>
      <c r="P82">
        <v>2</v>
      </c>
      <c r="Q82">
        <v>0</v>
      </c>
      <c r="R82">
        <v>31</v>
      </c>
      <c r="W82" s="13" t="s">
        <v>10</v>
      </c>
      <c r="X82" s="13">
        <v>0</v>
      </c>
      <c r="Y82" s="13">
        <v>1</v>
      </c>
      <c r="Z82" s="13">
        <v>0</v>
      </c>
      <c r="AA82" s="13">
        <v>3</v>
      </c>
      <c r="AB82" s="13">
        <v>0</v>
      </c>
      <c r="AC82" s="13">
        <v>0</v>
      </c>
      <c r="AD82" s="13">
        <v>1</v>
      </c>
      <c r="AE82" s="13">
        <v>0</v>
      </c>
      <c r="AF82">
        <v>5</v>
      </c>
    </row>
    <row r="83" spans="1:32" ht="15.95">
      <c r="A83" s="14">
        <v>93.5</v>
      </c>
      <c r="B83" s="14">
        <v>17</v>
      </c>
      <c r="C83" s="14">
        <v>10</v>
      </c>
      <c r="D83" s="14">
        <v>115.5</v>
      </c>
      <c r="E83" s="8" t="s">
        <v>231</v>
      </c>
      <c r="I83" s="5" t="s">
        <v>11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</v>
      </c>
      <c r="W83" s="13" t="s">
        <v>11</v>
      </c>
      <c r="X83" s="13">
        <v>2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>
        <v>2</v>
      </c>
    </row>
    <row r="84" spans="1:32" ht="15.95">
      <c r="A84" s="14">
        <v>85</v>
      </c>
      <c r="B84" s="14">
        <v>1</v>
      </c>
      <c r="C84" s="14"/>
      <c r="D84" s="14">
        <v>86</v>
      </c>
      <c r="E84" s="8" t="s">
        <v>232</v>
      </c>
      <c r="X84" s="13"/>
      <c r="Y84" s="13"/>
      <c r="Z84" s="13"/>
      <c r="AA84" s="13"/>
      <c r="AB84" s="13"/>
      <c r="AC84" s="13"/>
      <c r="AD84" s="13"/>
      <c r="AE84" s="13"/>
    </row>
    <row r="85" spans="1:32" ht="15.95">
      <c r="A85" s="14">
        <v>83</v>
      </c>
      <c r="B85" s="14"/>
      <c r="C85" s="14"/>
      <c r="D85" s="14">
        <v>83</v>
      </c>
      <c r="E85" s="8" t="s">
        <v>233</v>
      </c>
      <c r="AF85" s="13"/>
    </row>
    <row r="86" spans="1:32" ht="15.95">
      <c r="A86" s="14">
        <v>5</v>
      </c>
      <c r="B86" s="14">
        <v>2</v>
      </c>
      <c r="C86" s="14"/>
      <c r="D86" s="14">
        <v>7</v>
      </c>
      <c r="E86" s="8" t="s">
        <v>234</v>
      </c>
      <c r="H86" t="s">
        <v>26</v>
      </c>
      <c r="I86" s="5" t="s">
        <v>45</v>
      </c>
      <c r="J86" t="s">
        <v>25</v>
      </c>
      <c r="K86" t="s">
        <v>3</v>
      </c>
      <c r="L86" t="s">
        <v>4</v>
      </c>
      <c r="M86" t="s">
        <v>5</v>
      </c>
      <c r="N86" t="s">
        <v>6</v>
      </c>
      <c r="O86" t="s">
        <v>7</v>
      </c>
      <c r="P86" t="s">
        <v>8</v>
      </c>
      <c r="Q86" t="s">
        <v>9</v>
      </c>
      <c r="V86" t="s">
        <v>26</v>
      </c>
      <c r="W86" t="s">
        <v>113</v>
      </c>
      <c r="X86" t="s">
        <v>25</v>
      </c>
      <c r="Y86" s="13" t="s">
        <v>14</v>
      </c>
      <c r="Z86" t="s">
        <v>4</v>
      </c>
      <c r="AA86" s="13" t="s">
        <v>5</v>
      </c>
      <c r="AB86" s="13" t="s">
        <v>6</v>
      </c>
      <c r="AC86" s="13" t="s">
        <v>7</v>
      </c>
      <c r="AD86" s="13" t="s">
        <v>8</v>
      </c>
      <c r="AE86" t="s">
        <v>9</v>
      </c>
    </row>
    <row r="87" spans="1:32" ht="15.95">
      <c r="A87" s="14">
        <v>13</v>
      </c>
      <c r="B87" s="14">
        <v>2</v>
      </c>
      <c r="C87" s="14"/>
      <c r="D87" s="14">
        <v>15</v>
      </c>
      <c r="E87" s="8" t="s">
        <v>235</v>
      </c>
      <c r="I87" s="5" t="s">
        <v>10</v>
      </c>
      <c r="J87">
        <v>6</v>
      </c>
      <c r="K87">
        <v>2</v>
      </c>
      <c r="L87">
        <v>0</v>
      </c>
      <c r="M87">
        <v>3</v>
      </c>
      <c r="N87">
        <v>1</v>
      </c>
      <c r="O87">
        <v>0</v>
      </c>
      <c r="P87">
        <v>1</v>
      </c>
      <c r="Q87">
        <v>0</v>
      </c>
      <c r="R87">
        <v>13</v>
      </c>
      <c r="W87" t="s">
        <v>10</v>
      </c>
      <c r="X87" s="13">
        <v>4</v>
      </c>
      <c r="Y87" s="13">
        <v>1</v>
      </c>
      <c r="Z87" s="13">
        <v>0</v>
      </c>
      <c r="AA87" s="13">
        <v>2</v>
      </c>
      <c r="AB87" s="13">
        <v>0</v>
      </c>
      <c r="AC87" s="13">
        <v>0</v>
      </c>
      <c r="AD87" s="13">
        <v>3</v>
      </c>
      <c r="AE87" s="13">
        <v>3</v>
      </c>
      <c r="AF87">
        <v>13</v>
      </c>
    </row>
    <row r="88" spans="1:32" ht="15.95">
      <c r="A88" s="14">
        <v>15</v>
      </c>
      <c r="B88" s="14">
        <v>2</v>
      </c>
      <c r="C88" s="14"/>
      <c r="D88" s="14">
        <v>17</v>
      </c>
      <c r="E88" s="8" t="s">
        <v>236</v>
      </c>
      <c r="I88" s="5" t="s">
        <v>11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W88" t="s">
        <v>11</v>
      </c>
      <c r="X88" s="13">
        <v>0</v>
      </c>
      <c r="Y88" s="13">
        <v>1</v>
      </c>
      <c r="Z88" s="13">
        <v>0</v>
      </c>
      <c r="AA88" s="13">
        <v>1</v>
      </c>
      <c r="AB88" s="13">
        <v>0</v>
      </c>
      <c r="AC88" s="13">
        <v>0</v>
      </c>
      <c r="AD88" s="13">
        <v>0</v>
      </c>
      <c r="AE88" s="13">
        <v>0</v>
      </c>
      <c r="AF88">
        <v>2</v>
      </c>
    </row>
    <row r="89" spans="1:32" ht="15.95">
      <c r="A89" s="14">
        <v>13</v>
      </c>
      <c r="B89" s="14">
        <v>3</v>
      </c>
      <c r="C89" s="14"/>
      <c r="D89" s="14">
        <v>16</v>
      </c>
      <c r="E89" s="8" t="s">
        <v>237</v>
      </c>
      <c r="X89" s="13"/>
      <c r="Y89" s="13"/>
      <c r="Z89" s="13"/>
      <c r="AA89" s="13"/>
      <c r="AB89" s="13"/>
      <c r="AC89" s="13"/>
      <c r="AD89" s="13"/>
      <c r="AE89" s="13"/>
    </row>
    <row r="90" spans="1:32" ht="15.95">
      <c r="A90" s="14">
        <v>36.333333333333336</v>
      </c>
      <c r="B90" s="14">
        <v>12.333333333333334</v>
      </c>
      <c r="C90" s="14">
        <v>20</v>
      </c>
      <c r="D90" s="14">
        <v>55.333333333333336</v>
      </c>
      <c r="E90" s="8" t="s">
        <v>238</v>
      </c>
      <c r="AF90" s="13"/>
    </row>
    <row r="91" spans="1:32" ht="15.95">
      <c r="A91" s="14">
        <v>39</v>
      </c>
      <c r="B91" s="14">
        <v>21</v>
      </c>
      <c r="C91" s="14"/>
      <c r="D91" s="14">
        <v>60</v>
      </c>
      <c r="E91" s="8" t="s">
        <v>239</v>
      </c>
      <c r="H91" t="s">
        <v>26</v>
      </c>
      <c r="I91" s="5" t="s">
        <v>46</v>
      </c>
      <c r="J91" t="s">
        <v>25</v>
      </c>
      <c r="K91" t="s">
        <v>3</v>
      </c>
      <c r="L91" t="s">
        <v>4</v>
      </c>
      <c r="M91" t="s">
        <v>5</v>
      </c>
      <c r="N91" t="s">
        <v>6</v>
      </c>
      <c r="O91" t="s">
        <v>7</v>
      </c>
      <c r="P91" t="s">
        <v>8</v>
      </c>
      <c r="Q91" t="s">
        <v>9</v>
      </c>
      <c r="V91" t="s">
        <v>26</v>
      </c>
      <c r="W91" t="s">
        <v>114</v>
      </c>
      <c r="X91" t="s">
        <v>25</v>
      </c>
      <c r="Y91" s="13" t="s">
        <v>14</v>
      </c>
      <c r="Z91" t="s">
        <v>4</v>
      </c>
      <c r="AA91" s="13" t="s">
        <v>5</v>
      </c>
      <c r="AB91" s="13" t="s">
        <v>6</v>
      </c>
      <c r="AC91" s="13" t="s">
        <v>7</v>
      </c>
      <c r="AD91" s="13" t="s">
        <v>8</v>
      </c>
      <c r="AE91" t="s">
        <v>9</v>
      </c>
    </row>
    <row r="92" spans="1:32" ht="15.95">
      <c r="A92" s="14">
        <v>39.5</v>
      </c>
      <c r="B92" s="14">
        <v>7.5</v>
      </c>
      <c r="C92" s="14">
        <v>15.5</v>
      </c>
      <c r="D92" s="14">
        <v>62.5</v>
      </c>
      <c r="E92" s="8" t="s">
        <v>240</v>
      </c>
      <c r="I92" s="5" t="s">
        <v>10</v>
      </c>
      <c r="J92">
        <v>11</v>
      </c>
      <c r="K92">
        <v>3</v>
      </c>
      <c r="L92">
        <v>0</v>
      </c>
      <c r="M92">
        <v>2</v>
      </c>
      <c r="N92">
        <v>1</v>
      </c>
      <c r="O92">
        <v>0</v>
      </c>
      <c r="P92">
        <v>2</v>
      </c>
      <c r="Q92">
        <v>0</v>
      </c>
      <c r="R92">
        <v>19</v>
      </c>
      <c r="W92" t="s">
        <v>10</v>
      </c>
      <c r="X92" s="13">
        <v>12</v>
      </c>
      <c r="Y92" s="13">
        <v>1.5</v>
      </c>
      <c r="Z92" s="13">
        <v>0</v>
      </c>
      <c r="AA92" s="13">
        <v>1</v>
      </c>
      <c r="AB92" s="13">
        <v>0.5</v>
      </c>
      <c r="AC92" s="13">
        <v>0</v>
      </c>
      <c r="AD92" s="13">
        <v>0</v>
      </c>
      <c r="AE92" s="13">
        <v>0</v>
      </c>
      <c r="AF92">
        <v>15</v>
      </c>
    </row>
    <row r="93" spans="1:32" ht="15.95">
      <c r="A93" s="14">
        <v>36.5</v>
      </c>
      <c r="B93" s="14">
        <v>7.5</v>
      </c>
      <c r="C93" s="14">
        <v>10.5</v>
      </c>
      <c r="D93" s="14">
        <v>54.5</v>
      </c>
      <c r="E93" s="8" t="s">
        <v>241</v>
      </c>
      <c r="I93" s="5" t="s">
        <v>11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W93" t="s">
        <v>11</v>
      </c>
      <c r="X93" s="13">
        <v>1.5</v>
      </c>
      <c r="Y93" s="13">
        <v>0</v>
      </c>
      <c r="Z93" s="13">
        <v>0</v>
      </c>
      <c r="AA93" s="13">
        <v>0</v>
      </c>
      <c r="AB93" s="13">
        <v>0.5</v>
      </c>
      <c r="AC93" s="13">
        <v>0</v>
      </c>
      <c r="AD93" s="13">
        <v>0</v>
      </c>
      <c r="AE93" s="13">
        <v>0</v>
      </c>
      <c r="AF93">
        <v>2</v>
      </c>
    </row>
    <row r="94" spans="1:32" ht="15.95">
      <c r="A94" s="14">
        <v>24</v>
      </c>
      <c r="B94" s="14">
        <v>7.5</v>
      </c>
      <c r="C94" s="14">
        <v>3.5</v>
      </c>
      <c r="D94" s="14">
        <v>35</v>
      </c>
      <c r="E94" s="8" t="s">
        <v>242</v>
      </c>
      <c r="X94" s="13"/>
      <c r="Y94" s="13"/>
      <c r="Z94" s="13"/>
      <c r="AA94" s="13"/>
      <c r="AB94" s="13"/>
      <c r="AC94" s="13"/>
      <c r="AD94" s="13"/>
      <c r="AE94" s="13"/>
    </row>
    <row r="95" spans="1:32" ht="15.95">
      <c r="A95" s="14"/>
      <c r="B95" s="14"/>
      <c r="C95" s="14"/>
      <c r="D95" s="14">
        <f>SUM(D68:D94)</f>
        <v>2038.9166666666665</v>
      </c>
      <c r="AF95" s="13"/>
    </row>
    <row r="96" spans="1:32" ht="15.95">
      <c r="A96" s="14"/>
      <c r="B96" s="14"/>
      <c r="C96" s="14"/>
      <c r="D96" s="14"/>
      <c r="H96" t="s">
        <v>26</v>
      </c>
      <c r="I96" s="5" t="s">
        <v>47</v>
      </c>
      <c r="J96" t="s">
        <v>25</v>
      </c>
      <c r="K96" t="s">
        <v>3</v>
      </c>
      <c r="L96" t="s">
        <v>4</v>
      </c>
      <c r="M96" t="s">
        <v>5</v>
      </c>
      <c r="N96" t="s">
        <v>6</v>
      </c>
      <c r="O96" t="s">
        <v>7</v>
      </c>
      <c r="P96" t="s">
        <v>8</v>
      </c>
      <c r="Q96" t="s">
        <v>9</v>
      </c>
      <c r="V96" t="s">
        <v>26</v>
      </c>
      <c r="W96" t="s">
        <v>115</v>
      </c>
      <c r="X96" t="s">
        <v>25</v>
      </c>
      <c r="Y96" s="13" t="s">
        <v>14</v>
      </c>
      <c r="Z96" t="s">
        <v>4</v>
      </c>
      <c r="AA96" s="13" t="s">
        <v>5</v>
      </c>
      <c r="AB96" s="13" t="s">
        <v>6</v>
      </c>
      <c r="AC96" s="13" t="s">
        <v>7</v>
      </c>
      <c r="AD96" s="13" t="s">
        <v>8</v>
      </c>
      <c r="AE96" t="s">
        <v>9</v>
      </c>
    </row>
    <row r="97" spans="1:32" ht="15.95">
      <c r="A97" s="14"/>
      <c r="B97" s="14"/>
      <c r="C97" s="14"/>
      <c r="D97" s="14"/>
      <c r="I97" s="5" t="s">
        <v>10</v>
      </c>
      <c r="J97">
        <v>4.5</v>
      </c>
      <c r="K97">
        <v>0.5</v>
      </c>
      <c r="L97">
        <v>0.5</v>
      </c>
      <c r="M97">
        <v>0</v>
      </c>
      <c r="N97">
        <v>0.5</v>
      </c>
      <c r="O97">
        <v>0</v>
      </c>
      <c r="P97">
        <v>0</v>
      </c>
      <c r="Q97">
        <v>0</v>
      </c>
      <c r="R97">
        <v>6</v>
      </c>
      <c r="W97" t="s">
        <v>10</v>
      </c>
      <c r="X97" s="13">
        <v>9.5</v>
      </c>
      <c r="Y97" s="13">
        <v>1</v>
      </c>
      <c r="Z97" s="13">
        <v>1</v>
      </c>
      <c r="AA97" s="13">
        <v>1.5</v>
      </c>
      <c r="AB97" s="13">
        <v>0</v>
      </c>
      <c r="AC97" s="13">
        <v>0</v>
      </c>
      <c r="AD97" s="13">
        <v>0</v>
      </c>
      <c r="AE97" s="13">
        <v>0</v>
      </c>
      <c r="AF97">
        <v>13</v>
      </c>
    </row>
    <row r="98" spans="1:32" ht="15.95">
      <c r="A98" s="14" t="s">
        <v>140</v>
      </c>
      <c r="B98" s="14" t="s">
        <v>141</v>
      </c>
      <c r="C98" s="14" t="s">
        <v>142</v>
      </c>
      <c r="D98" s="14" t="s">
        <v>215</v>
      </c>
      <c r="E98" t="s">
        <v>144</v>
      </c>
      <c r="I98" s="5" t="s">
        <v>11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W98" t="s">
        <v>11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3</v>
      </c>
      <c r="AF98">
        <v>3</v>
      </c>
    </row>
    <row r="99" spans="1:32" ht="15.95">
      <c r="A99" s="14">
        <v>40.5</v>
      </c>
      <c r="B99" s="14">
        <v>2.5</v>
      </c>
      <c r="C99" s="14">
        <v>3</v>
      </c>
      <c r="D99" s="14">
        <v>46</v>
      </c>
      <c r="E99" t="s">
        <v>244</v>
      </c>
      <c r="X99" s="13"/>
      <c r="Y99" s="13"/>
      <c r="Z99" s="13"/>
      <c r="AA99" s="13"/>
      <c r="AB99" s="13"/>
      <c r="AC99" s="13"/>
      <c r="AD99" s="13"/>
      <c r="AE99" s="13"/>
    </row>
    <row r="100" spans="1:32" ht="15.95">
      <c r="A100" s="14">
        <v>33.5</v>
      </c>
      <c r="B100" s="14">
        <v>11.5</v>
      </c>
      <c r="C100" s="14">
        <v>1.5</v>
      </c>
      <c r="D100" s="14">
        <v>46.5</v>
      </c>
      <c r="E100" t="s">
        <v>245</v>
      </c>
      <c r="AF100" s="13"/>
    </row>
    <row r="101" spans="1:32" ht="15.95">
      <c r="A101" s="14">
        <v>34</v>
      </c>
      <c r="B101" s="14">
        <v>10</v>
      </c>
      <c r="C101" s="14">
        <v>2.5</v>
      </c>
      <c r="D101" s="14">
        <v>46.5</v>
      </c>
      <c r="E101" t="s">
        <v>246</v>
      </c>
      <c r="H101" t="s">
        <v>26</v>
      </c>
      <c r="I101" s="5" t="s">
        <v>48</v>
      </c>
      <c r="J101" t="s">
        <v>25</v>
      </c>
      <c r="K101" t="s">
        <v>3</v>
      </c>
      <c r="L101" t="s">
        <v>4</v>
      </c>
      <c r="M101" t="s">
        <v>5</v>
      </c>
      <c r="N101" t="s">
        <v>6</v>
      </c>
      <c r="O101" t="s">
        <v>7</v>
      </c>
      <c r="P101" t="s">
        <v>8</v>
      </c>
      <c r="Q101" t="s">
        <v>9</v>
      </c>
      <c r="V101" t="s">
        <v>26</v>
      </c>
      <c r="W101" t="s">
        <v>116</v>
      </c>
      <c r="X101" t="s">
        <v>25</v>
      </c>
      <c r="Y101" s="13" t="s">
        <v>14</v>
      </c>
      <c r="Z101" t="s">
        <v>4</v>
      </c>
      <c r="AA101" s="13" t="s">
        <v>5</v>
      </c>
      <c r="AB101" s="13" t="s">
        <v>6</v>
      </c>
      <c r="AC101" s="13" t="s">
        <v>7</v>
      </c>
      <c r="AD101" s="13" t="s">
        <v>8</v>
      </c>
      <c r="AE101" t="s">
        <v>9</v>
      </c>
    </row>
    <row r="102" spans="1:32" ht="15.95">
      <c r="A102" s="14">
        <v>58.5</v>
      </c>
      <c r="B102" s="14">
        <v>11</v>
      </c>
      <c r="C102" s="14">
        <v>2</v>
      </c>
      <c r="D102" s="14">
        <v>71.5</v>
      </c>
      <c r="E102" t="s">
        <v>247</v>
      </c>
      <c r="I102" s="5" t="s">
        <v>10</v>
      </c>
      <c r="J102">
        <v>26</v>
      </c>
      <c r="K102">
        <v>2.5</v>
      </c>
      <c r="L102">
        <v>0</v>
      </c>
      <c r="M102">
        <v>0.5</v>
      </c>
      <c r="N102">
        <v>0</v>
      </c>
      <c r="O102">
        <v>0</v>
      </c>
      <c r="P102">
        <v>1</v>
      </c>
      <c r="Q102">
        <v>0</v>
      </c>
      <c r="R102">
        <v>30</v>
      </c>
      <c r="W102" t="s">
        <v>10</v>
      </c>
      <c r="X102" s="13">
        <v>33.333333333333336</v>
      </c>
      <c r="Y102" s="13">
        <v>1.6666666666666667</v>
      </c>
      <c r="Z102" s="13">
        <v>0</v>
      </c>
      <c r="AA102" s="13">
        <v>0.66666666666666663</v>
      </c>
      <c r="AB102" s="13">
        <v>0</v>
      </c>
      <c r="AC102" s="13">
        <v>0</v>
      </c>
      <c r="AD102" s="13">
        <v>0.66666666666666663</v>
      </c>
      <c r="AE102" s="13">
        <v>0</v>
      </c>
      <c r="AF102">
        <v>36.333333333333329</v>
      </c>
    </row>
    <row r="103" spans="1:32" ht="15.95">
      <c r="A103" s="14">
        <v>71.5</v>
      </c>
      <c r="B103" s="14">
        <v>3</v>
      </c>
      <c r="C103" s="14">
        <v>14.5</v>
      </c>
      <c r="D103" s="14">
        <v>89</v>
      </c>
      <c r="E103" t="s">
        <v>248</v>
      </c>
      <c r="I103" s="5" t="s">
        <v>11</v>
      </c>
      <c r="J103">
        <v>14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15</v>
      </c>
      <c r="W103" t="s">
        <v>11</v>
      </c>
      <c r="X103" s="13">
        <v>5.333333333333333</v>
      </c>
      <c r="Y103" s="13">
        <v>0</v>
      </c>
      <c r="Z103" s="13">
        <v>0.33333333333333331</v>
      </c>
      <c r="AA103" s="13">
        <v>0.33333333333333331</v>
      </c>
      <c r="AB103" s="13">
        <v>1</v>
      </c>
      <c r="AC103" s="13">
        <v>0</v>
      </c>
      <c r="AD103" s="13">
        <v>0</v>
      </c>
      <c r="AE103" s="13">
        <v>5.333333333333333</v>
      </c>
      <c r="AF103">
        <v>12.333333333333332</v>
      </c>
    </row>
    <row r="104" spans="1:32" ht="15.95">
      <c r="A104" s="14">
        <v>30.5</v>
      </c>
      <c r="B104" s="14">
        <v>1.5</v>
      </c>
      <c r="C104" s="14">
        <v>5.5</v>
      </c>
      <c r="D104" s="14">
        <v>37.5</v>
      </c>
      <c r="E104" t="s">
        <v>249</v>
      </c>
      <c r="I104" t="s">
        <v>12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W104" t="s">
        <v>12</v>
      </c>
      <c r="X104" s="13">
        <v>20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>
        <v>20</v>
      </c>
    </row>
    <row r="105" spans="1:32" ht="15.95">
      <c r="A105" s="14">
        <v>73</v>
      </c>
      <c r="B105" s="14">
        <v>9.5</v>
      </c>
      <c r="C105" s="14">
        <v>5.5</v>
      </c>
      <c r="D105" s="14">
        <v>88</v>
      </c>
      <c r="E105" t="s">
        <v>250</v>
      </c>
      <c r="R105">
        <v>46</v>
      </c>
      <c r="AF105" s="13">
        <v>68.666666666666657</v>
      </c>
    </row>
    <row r="106" spans="1:32" ht="15.95">
      <c r="A106" s="14">
        <v>25.5</v>
      </c>
      <c r="B106" s="14">
        <v>5.5</v>
      </c>
      <c r="C106" s="14">
        <v>4.5</v>
      </c>
      <c r="D106" s="14">
        <v>35.5</v>
      </c>
      <c r="E106" t="s">
        <v>251</v>
      </c>
      <c r="H106" t="s">
        <v>26</v>
      </c>
      <c r="I106" s="5" t="s">
        <v>49</v>
      </c>
      <c r="J106" t="s">
        <v>25</v>
      </c>
      <c r="K106" t="s">
        <v>3</v>
      </c>
      <c r="L106" t="s">
        <v>4</v>
      </c>
      <c r="M106" t="s">
        <v>5</v>
      </c>
      <c r="N106" t="s">
        <v>6</v>
      </c>
      <c r="O106" t="s">
        <v>7</v>
      </c>
      <c r="P106" t="s">
        <v>8</v>
      </c>
      <c r="Q106" t="s">
        <v>9</v>
      </c>
      <c r="V106" t="s">
        <v>26</v>
      </c>
      <c r="W106" t="s">
        <v>117</v>
      </c>
      <c r="X106" t="s">
        <v>25</v>
      </c>
      <c r="Y106" s="13" t="s">
        <v>14</v>
      </c>
      <c r="Z106" t="s">
        <v>4</v>
      </c>
      <c r="AA106" s="13" t="s">
        <v>5</v>
      </c>
      <c r="AB106" s="13" t="s">
        <v>6</v>
      </c>
      <c r="AC106" s="13" t="s">
        <v>7</v>
      </c>
      <c r="AD106" s="13" t="s">
        <v>8</v>
      </c>
      <c r="AE106" t="s">
        <v>9</v>
      </c>
    </row>
    <row r="107" spans="1:32" ht="15.95">
      <c r="A107" s="14">
        <v>19</v>
      </c>
      <c r="B107" s="14">
        <v>18</v>
      </c>
      <c r="C107" s="14">
        <v>15</v>
      </c>
      <c r="D107" s="14">
        <v>52</v>
      </c>
      <c r="E107" t="s">
        <v>260</v>
      </c>
      <c r="I107" s="5" t="s">
        <v>10</v>
      </c>
      <c r="J107">
        <v>18</v>
      </c>
      <c r="K107">
        <v>5.666666666666667</v>
      </c>
      <c r="L107">
        <v>0.66666666666666663</v>
      </c>
      <c r="M107">
        <v>3</v>
      </c>
      <c r="N107">
        <v>1</v>
      </c>
      <c r="O107">
        <v>0.33333333333333331</v>
      </c>
      <c r="P107">
        <v>0.33333333333333331</v>
      </c>
      <c r="Q107">
        <v>0</v>
      </c>
      <c r="R107">
        <v>29</v>
      </c>
      <c r="W107" t="s">
        <v>10</v>
      </c>
      <c r="X107" s="13">
        <v>34</v>
      </c>
      <c r="Y107" s="13">
        <v>1</v>
      </c>
      <c r="Z107" s="13">
        <v>1</v>
      </c>
      <c r="AA107" s="13">
        <v>2</v>
      </c>
      <c r="AB107" s="13">
        <v>0</v>
      </c>
      <c r="AC107" s="13">
        <v>0</v>
      </c>
      <c r="AD107" s="13">
        <v>1</v>
      </c>
      <c r="AE107" s="13">
        <v>0</v>
      </c>
      <c r="AF107">
        <v>39</v>
      </c>
    </row>
    <row r="108" spans="1:32" ht="15.95">
      <c r="A108" s="14">
        <v>26</v>
      </c>
      <c r="B108" s="14">
        <v>42.5</v>
      </c>
      <c r="C108" s="14">
        <v>9.5</v>
      </c>
      <c r="D108" s="14">
        <v>78</v>
      </c>
      <c r="E108" t="s">
        <v>261</v>
      </c>
      <c r="I108" s="5" t="s">
        <v>11</v>
      </c>
      <c r="J108">
        <v>6</v>
      </c>
      <c r="K108">
        <v>1.3333333333333333</v>
      </c>
      <c r="L108">
        <v>0.33333333333333331</v>
      </c>
      <c r="M108">
        <v>0.33333333333333331</v>
      </c>
      <c r="N108">
        <v>0.33333333333333331</v>
      </c>
      <c r="O108">
        <v>0</v>
      </c>
      <c r="P108">
        <v>0</v>
      </c>
      <c r="Q108">
        <v>0</v>
      </c>
      <c r="R108">
        <v>8.3333333333333321</v>
      </c>
      <c r="W108" t="s">
        <v>11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21</v>
      </c>
      <c r="AF108">
        <v>21</v>
      </c>
    </row>
    <row r="109" spans="1:32" ht="15.95">
      <c r="A109" s="14">
        <v>44</v>
      </c>
      <c r="B109" s="14">
        <v>39</v>
      </c>
      <c r="C109" s="14">
        <v>10</v>
      </c>
      <c r="D109" s="14">
        <v>93</v>
      </c>
      <c r="E109" t="s">
        <v>262</v>
      </c>
      <c r="I109" t="s">
        <v>12</v>
      </c>
      <c r="J109">
        <v>0.33333333333333331</v>
      </c>
      <c r="K109">
        <v>0</v>
      </c>
      <c r="L109">
        <v>0</v>
      </c>
      <c r="M109">
        <v>0</v>
      </c>
      <c r="N109">
        <v>0.33333333333333331</v>
      </c>
      <c r="O109">
        <v>0</v>
      </c>
      <c r="P109">
        <v>0</v>
      </c>
      <c r="Q109">
        <v>0</v>
      </c>
      <c r="R109">
        <v>0.66666666666666663</v>
      </c>
      <c r="W109" t="s">
        <v>12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>
        <v>0</v>
      </c>
    </row>
    <row r="110" spans="1:32" ht="15.95">
      <c r="A110" s="14">
        <v>16</v>
      </c>
      <c r="B110" s="14">
        <v>20</v>
      </c>
      <c r="C110" s="14">
        <v>6</v>
      </c>
      <c r="D110" s="14">
        <v>42</v>
      </c>
      <c r="E110" t="s">
        <v>263</v>
      </c>
      <c r="R110">
        <v>37.999999999999993</v>
      </c>
      <c r="AF110" s="13">
        <v>60</v>
      </c>
    </row>
    <row r="111" spans="1:32" ht="15.95">
      <c r="A111" s="14">
        <v>52</v>
      </c>
      <c r="B111" s="14">
        <v>20</v>
      </c>
      <c r="C111" s="14">
        <v>8</v>
      </c>
      <c r="D111" s="14">
        <v>80</v>
      </c>
      <c r="E111" t="s">
        <v>264</v>
      </c>
      <c r="H111" t="s">
        <v>26</v>
      </c>
      <c r="I111" s="5" t="s">
        <v>50</v>
      </c>
      <c r="J111" t="s">
        <v>25</v>
      </c>
      <c r="K111" t="s">
        <v>3</v>
      </c>
      <c r="L111" t="s">
        <v>4</v>
      </c>
      <c r="M111" t="s">
        <v>5</v>
      </c>
      <c r="N111" t="s">
        <v>6</v>
      </c>
      <c r="O111" t="s">
        <v>7</v>
      </c>
      <c r="P111" t="s">
        <v>8</v>
      </c>
      <c r="Q111" t="s">
        <v>9</v>
      </c>
      <c r="V111" t="s">
        <v>26</v>
      </c>
      <c r="W111" t="s">
        <v>118</v>
      </c>
      <c r="X111" t="s">
        <v>25</v>
      </c>
      <c r="Y111" s="13" t="s">
        <v>14</v>
      </c>
      <c r="Z111" t="s">
        <v>4</v>
      </c>
      <c r="AA111" s="13" t="s">
        <v>5</v>
      </c>
      <c r="AB111" s="13" t="s">
        <v>6</v>
      </c>
      <c r="AC111" s="13" t="s">
        <v>7</v>
      </c>
      <c r="AD111" s="13" t="s">
        <v>8</v>
      </c>
      <c r="AE111" t="s">
        <v>9</v>
      </c>
    </row>
    <row r="112" spans="1:32" ht="15.95">
      <c r="A112" s="14">
        <v>31</v>
      </c>
      <c r="B112" s="14">
        <v>13</v>
      </c>
      <c r="C112" s="14">
        <v>7</v>
      </c>
      <c r="D112" s="14">
        <v>51</v>
      </c>
      <c r="E112" t="s">
        <v>265</v>
      </c>
      <c r="I112" s="5" t="s">
        <v>10</v>
      </c>
      <c r="J112">
        <v>14.5</v>
      </c>
      <c r="K112">
        <v>2.5</v>
      </c>
      <c r="L112">
        <v>0.5</v>
      </c>
      <c r="M112">
        <v>1.5</v>
      </c>
      <c r="N112">
        <v>1</v>
      </c>
      <c r="O112">
        <v>0</v>
      </c>
      <c r="P112">
        <v>0</v>
      </c>
      <c r="Q112">
        <v>0.5</v>
      </c>
      <c r="R112">
        <v>20.5</v>
      </c>
      <c r="W112" t="s">
        <v>10</v>
      </c>
      <c r="X112" s="13">
        <v>35</v>
      </c>
      <c r="Y112" s="13">
        <v>0</v>
      </c>
      <c r="Z112" s="13">
        <v>0</v>
      </c>
      <c r="AA112" s="13">
        <v>2.5</v>
      </c>
      <c r="AB112" s="13">
        <v>0.5</v>
      </c>
      <c r="AC112" s="13">
        <v>0</v>
      </c>
      <c r="AD112" s="13">
        <v>1.5</v>
      </c>
      <c r="AE112" s="13">
        <v>0</v>
      </c>
      <c r="AF112">
        <v>39.5</v>
      </c>
    </row>
    <row r="113" spans="4:32" ht="15.95">
      <c r="D113" s="14">
        <f>SUM(D99:D112)</f>
        <v>856.5</v>
      </c>
      <c r="I113" s="5" t="s">
        <v>11</v>
      </c>
      <c r="J113">
        <v>7.5</v>
      </c>
      <c r="K113">
        <v>1</v>
      </c>
      <c r="L113">
        <v>0.5</v>
      </c>
      <c r="M113">
        <v>0</v>
      </c>
      <c r="N113">
        <v>1.5</v>
      </c>
      <c r="O113">
        <v>0</v>
      </c>
      <c r="P113">
        <v>0</v>
      </c>
      <c r="Q113">
        <v>0</v>
      </c>
      <c r="R113">
        <v>10.5</v>
      </c>
      <c r="W113" t="s">
        <v>11</v>
      </c>
      <c r="X113" s="13">
        <v>3.5</v>
      </c>
      <c r="Y113" s="13">
        <v>0</v>
      </c>
      <c r="Z113" s="13">
        <v>1</v>
      </c>
      <c r="AA113" s="13">
        <v>0</v>
      </c>
      <c r="AB113" s="13">
        <v>2</v>
      </c>
      <c r="AC113" s="13">
        <v>0.5</v>
      </c>
      <c r="AD113" s="13">
        <v>0</v>
      </c>
      <c r="AE113" s="13">
        <v>0.5</v>
      </c>
      <c r="AF113">
        <v>7.5</v>
      </c>
    </row>
    <row r="114" spans="4:32" ht="15.95">
      <c r="I114" t="s">
        <v>12</v>
      </c>
      <c r="J114">
        <v>2.5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2.5</v>
      </c>
      <c r="W114" t="s">
        <v>12</v>
      </c>
      <c r="X114" s="13">
        <v>15.5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>
        <v>15.5</v>
      </c>
    </row>
    <row r="115" spans="4:32" ht="15.95">
      <c r="R115">
        <v>33.5</v>
      </c>
      <c r="AF115" s="13">
        <v>62.5</v>
      </c>
    </row>
    <row r="116" spans="4:32" ht="15.95">
      <c r="H116" t="s">
        <v>26</v>
      </c>
      <c r="I116" s="5" t="s">
        <v>51</v>
      </c>
      <c r="J116" t="s">
        <v>25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P116" t="s">
        <v>8</v>
      </c>
      <c r="Q116" t="s">
        <v>9</v>
      </c>
      <c r="V116" t="s">
        <v>26</v>
      </c>
      <c r="W116" t="s">
        <v>119</v>
      </c>
      <c r="X116" t="s">
        <v>25</v>
      </c>
      <c r="Y116" s="13" t="s">
        <v>14</v>
      </c>
      <c r="Z116" t="s">
        <v>4</v>
      </c>
      <c r="AA116" s="13" t="s">
        <v>5</v>
      </c>
      <c r="AB116" s="13" t="s">
        <v>6</v>
      </c>
      <c r="AC116" s="13" t="s">
        <v>7</v>
      </c>
      <c r="AD116" s="13" t="s">
        <v>8</v>
      </c>
      <c r="AE116" t="s">
        <v>9</v>
      </c>
    </row>
    <row r="117" spans="4:32" ht="15.95">
      <c r="I117" s="5" t="s">
        <v>10</v>
      </c>
      <c r="J117">
        <v>60</v>
      </c>
      <c r="K117">
        <v>5.5</v>
      </c>
      <c r="L117">
        <v>1</v>
      </c>
      <c r="M117">
        <v>4</v>
      </c>
      <c r="N117">
        <v>0.5</v>
      </c>
      <c r="O117">
        <v>0.5</v>
      </c>
      <c r="P117">
        <v>1</v>
      </c>
      <c r="Q117">
        <v>0</v>
      </c>
      <c r="R117">
        <v>72.5</v>
      </c>
      <c r="W117" t="s">
        <v>10</v>
      </c>
      <c r="X117" s="13">
        <v>32</v>
      </c>
      <c r="Y117" s="13">
        <v>1.5</v>
      </c>
      <c r="Z117" s="13">
        <v>0</v>
      </c>
      <c r="AA117" s="13">
        <v>2</v>
      </c>
      <c r="AB117" s="13">
        <v>0</v>
      </c>
      <c r="AC117" s="13">
        <v>0</v>
      </c>
      <c r="AD117" s="13">
        <v>1</v>
      </c>
      <c r="AE117" s="13">
        <v>0</v>
      </c>
      <c r="AF117">
        <v>36.5</v>
      </c>
    </row>
    <row r="118" spans="4:32" ht="15.95">
      <c r="D118" s="14">
        <f>D65+D95+D113</f>
        <v>6338.5</v>
      </c>
      <c r="I118" s="5" t="s">
        <v>11</v>
      </c>
      <c r="J118">
        <v>19</v>
      </c>
      <c r="K118">
        <v>1.5</v>
      </c>
      <c r="L118">
        <v>1</v>
      </c>
      <c r="M118">
        <v>0</v>
      </c>
      <c r="N118">
        <v>2.5</v>
      </c>
      <c r="O118">
        <v>0</v>
      </c>
      <c r="P118">
        <v>0</v>
      </c>
      <c r="Q118">
        <v>0</v>
      </c>
      <c r="R118">
        <v>24</v>
      </c>
      <c r="W118" t="s">
        <v>11</v>
      </c>
      <c r="X118" s="13">
        <v>4.5</v>
      </c>
      <c r="Y118" s="13">
        <v>1</v>
      </c>
      <c r="Z118" s="13">
        <v>0</v>
      </c>
      <c r="AA118" s="13">
        <v>0</v>
      </c>
      <c r="AB118" s="13">
        <v>2</v>
      </c>
      <c r="AC118" s="13">
        <v>0</v>
      </c>
      <c r="AD118" s="13">
        <v>0</v>
      </c>
      <c r="AE118" s="13">
        <v>0</v>
      </c>
      <c r="AF118">
        <v>7.5</v>
      </c>
    </row>
    <row r="119" spans="4:32" ht="15.95">
      <c r="I119" t="s">
        <v>12</v>
      </c>
      <c r="J119">
        <v>8</v>
      </c>
      <c r="K119">
        <v>0</v>
      </c>
      <c r="L119">
        <v>0</v>
      </c>
      <c r="M119">
        <v>0</v>
      </c>
      <c r="N119">
        <v>17.5</v>
      </c>
      <c r="O119">
        <v>0</v>
      </c>
      <c r="P119">
        <v>0</v>
      </c>
      <c r="Q119">
        <v>0</v>
      </c>
      <c r="R119">
        <v>25.5</v>
      </c>
      <c r="W119" t="s">
        <v>12</v>
      </c>
      <c r="X119" s="13">
        <v>10.5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>
        <v>10.5</v>
      </c>
    </row>
    <row r="120" spans="4:32" ht="15.95">
      <c r="R120">
        <v>122</v>
      </c>
      <c r="AF120" s="13">
        <v>54.5</v>
      </c>
    </row>
    <row r="121" spans="4:32" ht="15.95">
      <c r="H121" t="s">
        <v>26</v>
      </c>
      <c r="I121" s="5" t="s">
        <v>52</v>
      </c>
      <c r="J121" t="s">
        <v>25</v>
      </c>
      <c r="K121" t="s">
        <v>3</v>
      </c>
      <c r="L121" t="s">
        <v>4</v>
      </c>
      <c r="M121" t="s">
        <v>5</v>
      </c>
      <c r="N121" t="s">
        <v>6</v>
      </c>
      <c r="O121" t="s">
        <v>7</v>
      </c>
      <c r="P121" t="s">
        <v>8</v>
      </c>
      <c r="Q121" t="s">
        <v>9</v>
      </c>
      <c r="V121" t="s">
        <v>26</v>
      </c>
      <c r="W121" t="s">
        <v>120</v>
      </c>
      <c r="X121" t="s">
        <v>25</v>
      </c>
      <c r="Y121" s="13" t="s">
        <v>14</v>
      </c>
      <c r="Z121" t="s">
        <v>4</v>
      </c>
      <c r="AA121" s="13" t="s">
        <v>5</v>
      </c>
      <c r="AB121" s="13" t="s">
        <v>6</v>
      </c>
      <c r="AC121" s="13" t="s">
        <v>7</v>
      </c>
      <c r="AD121" s="13" t="s">
        <v>8</v>
      </c>
      <c r="AE121" t="s">
        <v>9</v>
      </c>
    </row>
    <row r="122" spans="4:32" ht="15.95">
      <c r="I122" s="5" t="s">
        <v>10</v>
      </c>
      <c r="J122">
        <v>92.333333333333329</v>
      </c>
      <c r="K122">
        <v>9</v>
      </c>
      <c r="L122">
        <v>0.66666666666666663</v>
      </c>
      <c r="M122">
        <v>10.666666666666666</v>
      </c>
      <c r="N122">
        <v>1.3333333333333333</v>
      </c>
      <c r="O122">
        <v>0</v>
      </c>
      <c r="P122">
        <v>1.6666666666666667</v>
      </c>
      <c r="Q122">
        <v>1.3333333333333333</v>
      </c>
      <c r="R122">
        <v>117</v>
      </c>
      <c r="W122" t="s">
        <v>10</v>
      </c>
      <c r="X122" s="13">
        <v>22</v>
      </c>
      <c r="Y122" s="13">
        <v>0</v>
      </c>
      <c r="Z122" s="13">
        <v>0</v>
      </c>
      <c r="AA122" s="13">
        <v>1.5</v>
      </c>
      <c r="AB122" s="13">
        <v>0</v>
      </c>
      <c r="AC122" s="13">
        <v>0</v>
      </c>
      <c r="AD122" s="13">
        <v>0</v>
      </c>
      <c r="AE122" s="13">
        <v>0.5</v>
      </c>
      <c r="AF122">
        <v>24</v>
      </c>
    </row>
    <row r="123" spans="4:32" ht="15.95">
      <c r="I123" s="5" t="s">
        <v>11</v>
      </c>
      <c r="J123">
        <v>15.333333333333334</v>
      </c>
      <c r="K123">
        <v>0.66666666666666663</v>
      </c>
      <c r="L123">
        <v>6.333333333333333</v>
      </c>
      <c r="M123">
        <v>0.33333333333333331</v>
      </c>
      <c r="N123">
        <v>1.3333333333333333</v>
      </c>
      <c r="O123">
        <v>0.33333333333333331</v>
      </c>
      <c r="P123">
        <v>0</v>
      </c>
      <c r="Q123">
        <v>0</v>
      </c>
      <c r="R123">
        <v>24.333333333333329</v>
      </c>
      <c r="W123" t="s">
        <v>11</v>
      </c>
      <c r="X123" s="13">
        <v>3.5</v>
      </c>
      <c r="Y123" s="13">
        <v>0.5</v>
      </c>
      <c r="Z123" s="13">
        <v>0</v>
      </c>
      <c r="AA123" s="13">
        <v>0</v>
      </c>
      <c r="AB123" s="13">
        <v>3.5</v>
      </c>
      <c r="AC123" s="13">
        <v>0</v>
      </c>
      <c r="AD123" s="13">
        <v>0</v>
      </c>
      <c r="AE123" s="13">
        <v>0</v>
      </c>
      <c r="AF123">
        <v>7.5</v>
      </c>
    </row>
    <row r="124" spans="4:32" ht="15.95">
      <c r="I124" t="s">
        <v>12</v>
      </c>
      <c r="J124">
        <v>4.666666666666667</v>
      </c>
      <c r="K124">
        <v>0</v>
      </c>
      <c r="L124">
        <v>0</v>
      </c>
      <c r="M124">
        <v>0</v>
      </c>
      <c r="N124">
        <v>7.333333333333333</v>
      </c>
      <c r="O124">
        <v>0</v>
      </c>
      <c r="P124">
        <v>0</v>
      </c>
      <c r="Q124">
        <v>0</v>
      </c>
      <c r="R124">
        <v>12</v>
      </c>
      <c r="W124" t="s">
        <v>12</v>
      </c>
      <c r="X124" s="13">
        <v>3.5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>
        <v>3.5</v>
      </c>
    </row>
    <row r="125" spans="4:32" ht="15.95">
      <c r="R125">
        <v>153.33333333333331</v>
      </c>
      <c r="AF125" s="13">
        <v>35</v>
      </c>
    </row>
    <row r="126" spans="4:32" ht="15.95">
      <c r="H126" t="s">
        <v>26</v>
      </c>
      <c r="I126" s="5" t="s">
        <v>53</v>
      </c>
      <c r="J126" t="s">
        <v>25</v>
      </c>
      <c r="K126" t="s">
        <v>3</v>
      </c>
      <c r="L126" t="s">
        <v>4</v>
      </c>
      <c r="M126" t="s">
        <v>5</v>
      </c>
      <c r="N126" t="s">
        <v>6</v>
      </c>
      <c r="O126" t="s">
        <v>7</v>
      </c>
      <c r="P126" t="s">
        <v>8</v>
      </c>
      <c r="Q126" t="s">
        <v>9</v>
      </c>
      <c r="W126" s="13"/>
      <c r="Y126" s="13"/>
      <c r="AA126" s="13"/>
      <c r="AB126" s="13"/>
      <c r="AC126" s="13"/>
      <c r="AD126" s="13"/>
    </row>
    <row r="127" spans="4:32" ht="15.95">
      <c r="I127" s="5" t="s">
        <v>10</v>
      </c>
      <c r="J127">
        <v>62</v>
      </c>
      <c r="K127">
        <v>5.5</v>
      </c>
      <c r="L127">
        <v>0.5</v>
      </c>
      <c r="M127">
        <v>4.5</v>
      </c>
      <c r="N127">
        <v>1.5</v>
      </c>
      <c r="O127">
        <v>1.5</v>
      </c>
      <c r="P127">
        <v>1</v>
      </c>
      <c r="Q127">
        <v>0.5</v>
      </c>
      <c r="R127">
        <v>77</v>
      </c>
    </row>
    <row r="128" spans="4:32" ht="15.95">
      <c r="I128" s="5" t="s">
        <v>11</v>
      </c>
      <c r="J128">
        <v>18</v>
      </c>
      <c r="K128">
        <v>1.5</v>
      </c>
      <c r="L128">
        <v>2</v>
      </c>
      <c r="M128">
        <v>0</v>
      </c>
      <c r="N128">
        <v>0.5</v>
      </c>
      <c r="O128">
        <v>0</v>
      </c>
      <c r="P128">
        <v>0</v>
      </c>
      <c r="Q128">
        <v>0</v>
      </c>
      <c r="R128">
        <v>22</v>
      </c>
    </row>
    <row r="129" spans="8:18">
      <c r="I129" t="s">
        <v>12</v>
      </c>
      <c r="J129">
        <v>9.5</v>
      </c>
      <c r="K129">
        <v>0</v>
      </c>
      <c r="L129">
        <v>0</v>
      </c>
      <c r="M129">
        <v>0</v>
      </c>
      <c r="N129">
        <v>7</v>
      </c>
      <c r="O129">
        <v>0</v>
      </c>
      <c r="P129">
        <v>0</v>
      </c>
      <c r="Q129">
        <v>0</v>
      </c>
      <c r="R129">
        <v>16.5</v>
      </c>
    </row>
    <row r="130" spans="8:18">
      <c r="R130">
        <v>115.5</v>
      </c>
    </row>
    <row r="131" spans="8:18" ht="15.95">
      <c r="H131" t="s">
        <v>26</v>
      </c>
      <c r="I131" s="5" t="s">
        <v>63</v>
      </c>
      <c r="J131" t="s">
        <v>25</v>
      </c>
      <c r="K131" t="s">
        <v>3</v>
      </c>
      <c r="L131" t="s">
        <v>4</v>
      </c>
      <c r="M131" t="s">
        <v>5</v>
      </c>
      <c r="N131" t="s">
        <v>6</v>
      </c>
      <c r="O131" t="s">
        <v>7</v>
      </c>
      <c r="P131" t="s">
        <v>8</v>
      </c>
      <c r="Q131" t="s">
        <v>9</v>
      </c>
    </row>
    <row r="132" spans="8:18" ht="15.95">
      <c r="I132" s="5" t="s">
        <v>10</v>
      </c>
      <c r="J132">
        <v>107</v>
      </c>
      <c r="K132">
        <v>0</v>
      </c>
      <c r="L132">
        <v>0</v>
      </c>
      <c r="M132">
        <v>16</v>
      </c>
      <c r="N132">
        <v>1</v>
      </c>
      <c r="O132">
        <v>1</v>
      </c>
      <c r="P132">
        <v>1</v>
      </c>
      <c r="Q132">
        <v>0</v>
      </c>
      <c r="R132">
        <v>126</v>
      </c>
    </row>
    <row r="133" spans="8:18" ht="15.95">
      <c r="I133" s="5" t="s">
        <v>11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</v>
      </c>
    </row>
    <row r="134" spans="8:18">
      <c r="I134" t="s">
        <v>12</v>
      </c>
    </row>
    <row r="135" spans="8:18">
      <c r="R135">
        <v>130</v>
      </c>
    </row>
    <row r="136" spans="8:18" ht="15.95">
      <c r="H136" t="s">
        <v>26</v>
      </c>
      <c r="I136" s="5" t="s">
        <v>64</v>
      </c>
      <c r="J136" t="s">
        <v>25</v>
      </c>
      <c r="K136" t="s">
        <v>3</v>
      </c>
      <c r="L136" t="s">
        <v>4</v>
      </c>
      <c r="M136" t="s">
        <v>5</v>
      </c>
      <c r="N136" t="s">
        <v>6</v>
      </c>
      <c r="O136" t="s">
        <v>7</v>
      </c>
      <c r="P136" t="s">
        <v>8</v>
      </c>
      <c r="Q136" t="s">
        <v>9</v>
      </c>
    </row>
    <row r="137" spans="8:18" ht="15.95">
      <c r="I137" s="5" t="s">
        <v>10</v>
      </c>
      <c r="J137">
        <v>102</v>
      </c>
      <c r="K137">
        <v>12</v>
      </c>
      <c r="L137">
        <v>0</v>
      </c>
      <c r="M137">
        <v>7</v>
      </c>
      <c r="N137">
        <v>2</v>
      </c>
      <c r="O137">
        <v>1</v>
      </c>
      <c r="P137">
        <v>2</v>
      </c>
      <c r="Q137">
        <v>0</v>
      </c>
      <c r="R137">
        <v>126</v>
      </c>
    </row>
    <row r="138" spans="8:18" ht="15.95">
      <c r="I138" s="5" t="s">
        <v>11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</row>
    <row r="139" spans="8:18">
      <c r="I139" t="s">
        <v>12</v>
      </c>
    </row>
    <row r="140" spans="8:18">
      <c r="R140">
        <v>128</v>
      </c>
    </row>
    <row r="141" spans="8:18" ht="15.95">
      <c r="H141" t="s">
        <v>26</v>
      </c>
      <c r="I141" s="5" t="s">
        <v>65</v>
      </c>
      <c r="J141" t="s">
        <v>25</v>
      </c>
      <c r="K141" t="s">
        <v>3</v>
      </c>
      <c r="L141" t="s">
        <v>4</v>
      </c>
      <c r="M141" t="s">
        <v>5</v>
      </c>
      <c r="N141" t="s">
        <v>6</v>
      </c>
      <c r="O141" t="s">
        <v>7</v>
      </c>
      <c r="P141" t="s">
        <v>8</v>
      </c>
      <c r="Q141" t="s">
        <v>9</v>
      </c>
    </row>
    <row r="142" spans="8:18" ht="15.95">
      <c r="I142" s="5" t="s">
        <v>10</v>
      </c>
      <c r="J142">
        <v>120</v>
      </c>
      <c r="K142">
        <v>6</v>
      </c>
      <c r="L142">
        <v>0</v>
      </c>
      <c r="M142">
        <v>0</v>
      </c>
      <c r="N142">
        <v>3</v>
      </c>
      <c r="O142">
        <v>1</v>
      </c>
      <c r="P142">
        <v>4</v>
      </c>
      <c r="Q142">
        <v>0</v>
      </c>
      <c r="R142">
        <v>134</v>
      </c>
    </row>
    <row r="143" spans="8:18" ht="15.95">
      <c r="I143" s="5" t="s">
        <v>11</v>
      </c>
      <c r="J143">
        <v>22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26</v>
      </c>
    </row>
    <row r="144" spans="8:18">
      <c r="I144" t="s">
        <v>12</v>
      </c>
    </row>
    <row r="145" spans="8:18">
      <c r="R145">
        <v>160</v>
      </c>
    </row>
    <row r="146" spans="8:18" ht="15.95">
      <c r="H146" t="s">
        <v>26</v>
      </c>
      <c r="I146" s="5" t="s">
        <v>70</v>
      </c>
      <c r="J146" t="s">
        <v>25</v>
      </c>
      <c r="K146" t="s">
        <v>3</v>
      </c>
      <c r="L146" t="s">
        <v>4</v>
      </c>
      <c r="M146" t="s">
        <v>5</v>
      </c>
      <c r="N146" t="s">
        <v>6</v>
      </c>
      <c r="O146" t="s">
        <v>7</v>
      </c>
      <c r="P146" t="s">
        <v>8</v>
      </c>
      <c r="Q146" t="s">
        <v>9</v>
      </c>
    </row>
    <row r="147" spans="8:18" ht="15.95">
      <c r="I147" s="5" t="s">
        <v>10</v>
      </c>
      <c r="J147">
        <v>6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10</v>
      </c>
    </row>
    <row r="148" spans="8:18" ht="15.95">
      <c r="I148" s="5" t="s">
        <v>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8:18">
      <c r="I149" t="s">
        <v>12</v>
      </c>
    </row>
    <row r="150" spans="8:18">
      <c r="R150">
        <v>10</v>
      </c>
    </row>
    <row r="151" spans="8:18" ht="15.95">
      <c r="H151" t="s">
        <v>26</v>
      </c>
      <c r="I151" s="5" t="s">
        <v>71</v>
      </c>
      <c r="J151" t="s">
        <v>25</v>
      </c>
      <c r="K151" t="s">
        <v>3</v>
      </c>
      <c r="L151" t="s">
        <v>4</v>
      </c>
      <c r="M151" t="s">
        <v>5</v>
      </c>
      <c r="N151" t="s">
        <v>6</v>
      </c>
      <c r="O151" t="s">
        <v>7</v>
      </c>
      <c r="P151" t="s">
        <v>8</v>
      </c>
      <c r="Q151" t="s">
        <v>9</v>
      </c>
    </row>
    <row r="152" spans="8:18" ht="15.95">
      <c r="I152" s="5" t="s">
        <v>10</v>
      </c>
      <c r="J152">
        <v>12.5</v>
      </c>
      <c r="K152">
        <v>2.5</v>
      </c>
      <c r="L152">
        <v>0</v>
      </c>
      <c r="M152">
        <v>2</v>
      </c>
      <c r="N152">
        <v>0</v>
      </c>
      <c r="O152">
        <v>0</v>
      </c>
      <c r="P152">
        <v>0.5</v>
      </c>
      <c r="Q152">
        <v>0</v>
      </c>
      <c r="R152">
        <v>17.5</v>
      </c>
    </row>
    <row r="153" spans="8:18" ht="15.95">
      <c r="I153" s="5" t="s">
        <v>11</v>
      </c>
      <c r="J153">
        <v>4</v>
      </c>
      <c r="K153">
        <v>0.5</v>
      </c>
      <c r="L153">
        <v>0.5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</v>
      </c>
    </row>
    <row r="154" spans="8:18">
      <c r="I154" t="s">
        <v>12</v>
      </c>
    </row>
    <row r="155" spans="8:18">
      <c r="R155">
        <v>22.5</v>
      </c>
    </row>
    <row r="156" spans="8:18" ht="15.95">
      <c r="H156" t="s">
        <v>26</v>
      </c>
      <c r="I156" s="5" t="s">
        <v>72</v>
      </c>
      <c r="J156" t="s">
        <v>25</v>
      </c>
      <c r="K156" t="s">
        <v>3</v>
      </c>
      <c r="L156" t="s">
        <v>4</v>
      </c>
      <c r="M156" t="s">
        <v>5</v>
      </c>
      <c r="N156" t="s">
        <v>6</v>
      </c>
      <c r="O156" t="s">
        <v>7</v>
      </c>
      <c r="P156" t="s">
        <v>8</v>
      </c>
      <c r="Q156" t="s">
        <v>9</v>
      </c>
    </row>
    <row r="157" spans="8:18" ht="15.95">
      <c r="I157" s="5" t="s">
        <v>10</v>
      </c>
      <c r="J157">
        <v>7.5</v>
      </c>
      <c r="K157">
        <v>1</v>
      </c>
      <c r="L157">
        <v>0.5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</v>
      </c>
    </row>
    <row r="158" spans="8:18" ht="15.95">
      <c r="I158" s="5" t="s">
        <v>11</v>
      </c>
      <c r="J158">
        <v>1</v>
      </c>
      <c r="K158">
        <v>1.5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2.5</v>
      </c>
    </row>
    <row r="159" spans="8:18">
      <c r="I159" t="s">
        <v>12</v>
      </c>
    </row>
    <row r="160" spans="8:18">
      <c r="R160">
        <v>11.5</v>
      </c>
    </row>
    <row r="161" spans="8:18" ht="15.95">
      <c r="H161" t="s">
        <v>26</v>
      </c>
      <c r="I161" s="5" t="s">
        <v>73</v>
      </c>
      <c r="J161" t="s">
        <v>25</v>
      </c>
      <c r="K161" t="s">
        <v>3</v>
      </c>
      <c r="L161" t="s">
        <v>4</v>
      </c>
      <c r="M161" t="s">
        <v>5</v>
      </c>
      <c r="N161" t="s">
        <v>6</v>
      </c>
      <c r="O161" t="s">
        <v>7</v>
      </c>
      <c r="P161" t="s">
        <v>8</v>
      </c>
      <c r="Q161" t="s">
        <v>9</v>
      </c>
    </row>
    <row r="162" spans="8:18" ht="15.95">
      <c r="I162" s="5" t="s">
        <v>10</v>
      </c>
      <c r="J162">
        <v>11.5</v>
      </c>
      <c r="K162">
        <v>2</v>
      </c>
      <c r="L162">
        <v>0</v>
      </c>
      <c r="M162">
        <v>0.5</v>
      </c>
      <c r="N162">
        <v>0</v>
      </c>
      <c r="O162">
        <v>0</v>
      </c>
      <c r="P162">
        <v>0</v>
      </c>
      <c r="Q162">
        <v>0</v>
      </c>
      <c r="R162">
        <v>14</v>
      </c>
    </row>
    <row r="163" spans="8:18" ht="15.95">
      <c r="I163" s="5" t="s">
        <v>11</v>
      </c>
      <c r="J163">
        <v>0.5</v>
      </c>
      <c r="K163">
        <v>1.5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</row>
    <row r="164" spans="8:18">
      <c r="I164" t="s">
        <v>12</v>
      </c>
    </row>
    <row r="165" spans="8:18">
      <c r="R165">
        <v>16</v>
      </c>
    </row>
    <row r="166" spans="8:18" ht="15.95">
      <c r="H166" t="s">
        <v>26</v>
      </c>
      <c r="I166" s="5" t="s">
        <v>74</v>
      </c>
      <c r="J166" t="s">
        <v>25</v>
      </c>
      <c r="K166" t="s">
        <v>3</v>
      </c>
      <c r="L166" t="s">
        <v>4</v>
      </c>
      <c r="M166" t="s">
        <v>5</v>
      </c>
      <c r="N166" t="s">
        <v>6</v>
      </c>
      <c r="O166" t="s">
        <v>7</v>
      </c>
      <c r="P166" t="s">
        <v>8</v>
      </c>
      <c r="Q166" t="s">
        <v>9</v>
      </c>
    </row>
    <row r="167" spans="8:18" ht="15.95">
      <c r="I167" s="5" t="s">
        <v>10</v>
      </c>
      <c r="J167">
        <v>13.5</v>
      </c>
      <c r="K167">
        <v>2</v>
      </c>
      <c r="L167">
        <v>0.5</v>
      </c>
      <c r="M167">
        <v>3.5</v>
      </c>
      <c r="N167">
        <v>0</v>
      </c>
      <c r="O167">
        <v>0.5</v>
      </c>
      <c r="P167">
        <v>1.5</v>
      </c>
      <c r="Q167">
        <v>3</v>
      </c>
      <c r="R167">
        <v>24.5</v>
      </c>
    </row>
    <row r="168" spans="8:18" ht="15.95">
      <c r="I168" s="5" t="s">
        <v>11</v>
      </c>
      <c r="J168">
        <v>1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</v>
      </c>
    </row>
    <row r="169" spans="8:18">
      <c r="I169" t="s">
        <v>12</v>
      </c>
    </row>
    <row r="170" spans="8:18">
      <c r="R170">
        <v>28.5</v>
      </c>
    </row>
    <row r="171" spans="8:18" ht="15.95">
      <c r="H171" t="s">
        <v>26</v>
      </c>
      <c r="I171" s="5" t="s">
        <v>76</v>
      </c>
      <c r="J171" t="s">
        <v>25</v>
      </c>
      <c r="K171" t="s">
        <v>3</v>
      </c>
      <c r="L171" t="s">
        <v>4</v>
      </c>
      <c r="M171" t="s">
        <v>5</v>
      </c>
      <c r="N171" t="s">
        <v>6</v>
      </c>
      <c r="O171" t="s">
        <v>7</v>
      </c>
      <c r="P171" t="s">
        <v>8</v>
      </c>
      <c r="Q171" t="s">
        <v>9</v>
      </c>
    </row>
    <row r="172" spans="8:18" ht="15.95">
      <c r="I172" s="5" t="s">
        <v>10</v>
      </c>
      <c r="J172">
        <v>26.5</v>
      </c>
      <c r="K172">
        <v>4</v>
      </c>
      <c r="L172">
        <v>0</v>
      </c>
      <c r="M172">
        <v>2.5</v>
      </c>
      <c r="N172">
        <v>0</v>
      </c>
      <c r="O172">
        <v>0</v>
      </c>
      <c r="P172">
        <v>0</v>
      </c>
      <c r="Q172">
        <v>9.5</v>
      </c>
      <c r="R172">
        <v>42.5</v>
      </c>
    </row>
    <row r="173" spans="8:18" ht="15.95">
      <c r="I173" s="5" t="s">
        <v>11</v>
      </c>
      <c r="J173">
        <v>0.5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1.5</v>
      </c>
    </row>
    <row r="174" spans="8:18">
      <c r="I174" t="s">
        <v>12</v>
      </c>
    </row>
    <row r="175" spans="8:18">
      <c r="R175">
        <v>44</v>
      </c>
    </row>
    <row r="176" spans="8:18" ht="15.95">
      <c r="H176" t="s">
        <v>26</v>
      </c>
      <c r="I176" s="5" t="s">
        <v>77</v>
      </c>
      <c r="J176" t="s">
        <v>25</v>
      </c>
      <c r="K176" t="s">
        <v>3</v>
      </c>
      <c r="L176" t="s">
        <v>4</v>
      </c>
      <c r="M176" t="s">
        <v>5</v>
      </c>
      <c r="N176" t="s">
        <v>6</v>
      </c>
      <c r="O176" t="s">
        <v>7</v>
      </c>
      <c r="P176" t="s">
        <v>8</v>
      </c>
      <c r="Q176" t="s">
        <v>9</v>
      </c>
    </row>
    <row r="177" spans="8:18" ht="15.95">
      <c r="I177" s="5" t="s">
        <v>10</v>
      </c>
      <c r="J177">
        <v>4</v>
      </c>
      <c r="K177">
        <v>5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11</v>
      </c>
    </row>
    <row r="178" spans="8:18" ht="15.95">
      <c r="I178" s="5" t="s">
        <v>11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3</v>
      </c>
    </row>
    <row r="179" spans="8:18">
      <c r="I179" t="s">
        <v>12</v>
      </c>
    </row>
    <row r="180" spans="8:18">
      <c r="R180">
        <v>14</v>
      </c>
    </row>
    <row r="181" spans="8:18" ht="15.95">
      <c r="H181" t="s">
        <v>26</v>
      </c>
      <c r="I181" s="5" t="s">
        <v>78</v>
      </c>
      <c r="J181" t="s">
        <v>25</v>
      </c>
      <c r="K181" t="s">
        <v>3</v>
      </c>
      <c r="L181" t="s">
        <v>4</v>
      </c>
      <c r="M181" t="s">
        <v>5</v>
      </c>
      <c r="N181" t="s">
        <v>6</v>
      </c>
      <c r="O181" t="s">
        <v>7</v>
      </c>
      <c r="P181" t="s">
        <v>8</v>
      </c>
      <c r="Q181" t="s">
        <v>9</v>
      </c>
    </row>
    <row r="182" spans="8:18" ht="15.95">
      <c r="I182" s="5" t="s">
        <v>10</v>
      </c>
      <c r="J182">
        <v>19</v>
      </c>
      <c r="K182">
        <v>4.5</v>
      </c>
      <c r="L182">
        <v>0</v>
      </c>
      <c r="M182">
        <v>1.5</v>
      </c>
      <c r="N182">
        <v>0</v>
      </c>
      <c r="O182">
        <v>0</v>
      </c>
      <c r="P182">
        <v>0</v>
      </c>
      <c r="Q182">
        <v>1</v>
      </c>
      <c r="R182">
        <v>26</v>
      </c>
    </row>
    <row r="183" spans="8:18" ht="15.95">
      <c r="I183" s="5" t="s">
        <v>11</v>
      </c>
      <c r="J183">
        <v>2</v>
      </c>
      <c r="K183">
        <v>0</v>
      </c>
      <c r="L183">
        <v>0</v>
      </c>
      <c r="M183">
        <v>0</v>
      </c>
      <c r="N183">
        <v>0.5</v>
      </c>
      <c r="O183">
        <v>0</v>
      </c>
      <c r="P183">
        <v>0</v>
      </c>
      <c r="Q183">
        <v>0</v>
      </c>
      <c r="R183">
        <v>2.5</v>
      </c>
    </row>
    <row r="184" spans="8:18">
      <c r="I184" t="s">
        <v>12</v>
      </c>
    </row>
    <row r="185" spans="8:18">
      <c r="R185">
        <v>28.5</v>
      </c>
    </row>
    <row r="186" spans="8:18" ht="15.95">
      <c r="H186" t="s">
        <v>26</v>
      </c>
      <c r="I186" s="5" t="s">
        <v>521</v>
      </c>
      <c r="J186" t="s">
        <v>25</v>
      </c>
      <c r="K186" t="s">
        <v>3</v>
      </c>
      <c r="L186" t="s">
        <v>4</v>
      </c>
      <c r="M186" t="s">
        <v>5</v>
      </c>
      <c r="N186" t="s">
        <v>6</v>
      </c>
      <c r="O186" t="s">
        <v>7</v>
      </c>
      <c r="P186" t="s">
        <v>8</v>
      </c>
      <c r="Q186" t="s">
        <v>9</v>
      </c>
    </row>
    <row r="187" spans="8:18" ht="15.95">
      <c r="I187" s="5" t="s">
        <v>10</v>
      </c>
      <c r="J187">
        <v>14.5</v>
      </c>
      <c r="K187">
        <v>1</v>
      </c>
      <c r="L187">
        <v>0.5</v>
      </c>
      <c r="M187">
        <v>3.5</v>
      </c>
      <c r="N187">
        <v>0.5</v>
      </c>
      <c r="O187">
        <v>0</v>
      </c>
      <c r="P187">
        <v>0</v>
      </c>
      <c r="Q187">
        <v>0</v>
      </c>
      <c r="R187">
        <v>20</v>
      </c>
    </row>
    <row r="188" spans="8:18" ht="15.95">
      <c r="I188" s="5" t="s">
        <v>11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</row>
    <row r="189" spans="8:18">
      <c r="I189" t="s">
        <v>12</v>
      </c>
    </row>
    <row r="190" spans="8:18">
      <c r="R190">
        <v>21</v>
      </c>
    </row>
    <row r="191" spans="8:18" ht="15.95">
      <c r="H191" t="s">
        <v>26</v>
      </c>
      <c r="I191" s="5" t="s">
        <v>79</v>
      </c>
      <c r="J191" t="s">
        <v>25</v>
      </c>
      <c r="K191" t="s">
        <v>3</v>
      </c>
      <c r="L191" t="s">
        <v>4</v>
      </c>
      <c r="M191" t="s">
        <v>5</v>
      </c>
      <c r="N191" t="s">
        <v>6</v>
      </c>
      <c r="O191" t="s">
        <v>7</v>
      </c>
      <c r="P191" t="s">
        <v>8</v>
      </c>
      <c r="Q191" t="s">
        <v>9</v>
      </c>
    </row>
    <row r="192" spans="8:18" ht="15.95">
      <c r="I192" s="5" t="s">
        <v>10</v>
      </c>
      <c r="J192">
        <v>45</v>
      </c>
      <c r="K192">
        <v>4</v>
      </c>
      <c r="L192">
        <v>0</v>
      </c>
      <c r="M192">
        <v>2.3333333333333335</v>
      </c>
      <c r="N192">
        <v>0.66666666666666663</v>
      </c>
      <c r="O192">
        <v>0</v>
      </c>
      <c r="P192">
        <v>0.33333333333333331</v>
      </c>
      <c r="Q192">
        <v>0.33333333333333331</v>
      </c>
      <c r="R192">
        <v>52.666666666666671</v>
      </c>
    </row>
    <row r="193" spans="8:18" ht="15.95">
      <c r="I193" s="5" t="s">
        <v>11</v>
      </c>
      <c r="J193">
        <v>12.666666666666666</v>
      </c>
      <c r="K193">
        <v>1</v>
      </c>
      <c r="L193">
        <v>0</v>
      </c>
      <c r="M193">
        <v>0</v>
      </c>
      <c r="N193">
        <v>1.6666666666666667</v>
      </c>
      <c r="O193">
        <v>0</v>
      </c>
      <c r="P193">
        <v>0</v>
      </c>
      <c r="Q193">
        <v>0.66666666666666663</v>
      </c>
      <c r="R193">
        <v>15.999999999999998</v>
      </c>
    </row>
    <row r="194" spans="8:18">
      <c r="I194" t="s">
        <v>12</v>
      </c>
      <c r="J194">
        <v>16</v>
      </c>
      <c r="K194">
        <v>0</v>
      </c>
      <c r="L194">
        <v>0</v>
      </c>
      <c r="M194">
        <v>0</v>
      </c>
      <c r="N194">
        <v>9</v>
      </c>
      <c r="O194">
        <v>0</v>
      </c>
      <c r="P194">
        <v>0</v>
      </c>
      <c r="Q194">
        <v>0</v>
      </c>
      <c r="R194">
        <v>25</v>
      </c>
    </row>
    <row r="195" spans="8:18">
      <c r="R195">
        <v>93.666666666666671</v>
      </c>
    </row>
    <row r="196" spans="8:18" ht="15.95">
      <c r="H196" t="s">
        <v>26</v>
      </c>
      <c r="I196" s="5" t="s">
        <v>80</v>
      </c>
      <c r="J196" t="s">
        <v>25</v>
      </c>
      <c r="K196" t="s">
        <v>3</v>
      </c>
      <c r="L196" t="s">
        <v>4</v>
      </c>
      <c r="M196" t="s">
        <v>5</v>
      </c>
      <c r="N196" t="s">
        <v>6</v>
      </c>
      <c r="O196" t="s">
        <v>7</v>
      </c>
      <c r="P196" t="s">
        <v>8</v>
      </c>
      <c r="Q196" t="s">
        <v>9</v>
      </c>
    </row>
    <row r="197" spans="8:18" ht="15.95">
      <c r="I197" s="5" t="s">
        <v>10</v>
      </c>
      <c r="J197">
        <v>43</v>
      </c>
      <c r="K197">
        <v>1</v>
      </c>
      <c r="L197">
        <v>0</v>
      </c>
      <c r="M197">
        <v>3</v>
      </c>
      <c r="N197">
        <v>3</v>
      </c>
      <c r="O197">
        <v>0</v>
      </c>
      <c r="P197">
        <v>0</v>
      </c>
      <c r="Q197">
        <v>0</v>
      </c>
      <c r="R197">
        <v>50</v>
      </c>
    </row>
    <row r="198" spans="8:18" ht="15.95">
      <c r="I198" s="5" t="s">
        <v>11</v>
      </c>
      <c r="J198">
        <v>31</v>
      </c>
      <c r="K198">
        <v>5</v>
      </c>
      <c r="L198">
        <v>0</v>
      </c>
      <c r="M198">
        <v>0</v>
      </c>
      <c r="N198">
        <v>11</v>
      </c>
      <c r="O198">
        <v>0</v>
      </c>
      <c r="P198">
        <v>0</v>
      </c>
      <c r="Q198">
        <v>0</v>
      </c>
      <c r="R198">
        <v>47</v>
      </c>
    </row>
    <row r="199" spans="8:18">
      <c r="I199" t="s">
        <v>12</v>
      </c>
      <c r="J199">
        <v>16</v>
      </c>
      <c r="K199">
        <v>1</v>
      </c>
      <c r="L199">
        <v>0</v>
      </c>
      <c r="M199">
        <v>0</v>
      </c>
      <c r="N199">
        <v>11</v>
      </c>
      <c r="O199">
        <v>0</v>
      </c>
      <c r="P199">
        <v>0</v>
      </c>
      <c r="Q199">
        <v>0</v>
      </c>
      <c r="R199">
        <v>28</v>
      </c>
    </row>
    <row r="200" spans="8:18">
      <c r="R200">
        <v>125</v>
      </c>
    </row>
    <row r="201" spans="8:18" ht="15.95">
      <c r="H201" t="s">
        <v>26</v>
      </c>
      <c r="I201" s="5" t="s">
        <v>81</v>
      </c>
      <c r="J201" t="s">
        <v>25</v>
      </c>
      <c r="K201" t="s">
        <v>3</v>
      </c>
      <c r="L201" t="s">
        <v>4</v>
      </c>
      <c r="M201" t="s">
        <v>5</v>
      </c>
      <c r="N201" t="s">
        <v>6</v>
      </c>
      <c r="O201" t="s">
        <v>7</v>
      </c>
      <c r="P201" t="s">
        <v>8</v>
      </c>
      <c r="Q201" t="s">
        <v>9</v>
      </c>
    </row>
    <row r="202" spans="8:18" ht="15.95">
      <c r="I202" s="5" t="s">
        <v>10</v>
      </c>
      <c r="J202">
        <v>49</v>
      </c>
      <c r="K202">
        <v>5</v>
      </c>
      <c r="L202">
        <v>0</v>
      </c>
      <c r="M202">
        <v>1</v>
      </c>
      <c r="N202">
        <v>2</v>
      </c>
      <c r="O202">
        <v>0</v>
      </c>
      <c r="P202">
        <v>0</v>
      </c>
      <c r="Q202">
        <v>1</v>
      </c>
      <c r="R202">
        <v>58</v>
      </c>
    </row>
    <row r="203" spans="8:18" ht="15.95">
      <c r="I203" s="5" t="s">
        <v>11</v>
      </c>
      <c r="J203">
        <v>24</v>
      </c>
      <c r="K203">
        <v>3</v>
      </c>
      <c r="L203">
        <v>0</v>
      </c>
      <c r="M203">
        <v>0</v>
      </c>
      <c r="N203">
        <v>6</v>
      </c>
      <c r="O203">
        <v>0</v>
      </c>
      <c r="P203">
        <v>0</v>
      </c>
      <c r="Q203">
        <v>0</v>
      </c>
      <c r="R203">
        <v>33</v>
      </c>
    </row>
    <row r="204" spans="8:18">
      <c r="I204" t="s">
        <v>12</v>
      </c>
      <c r="J204">
        <v>10</v>
      </c>
      <c r="K204">
        <v>0</v>
      </c>
      <c r="L204">
        <v>0</v>
      </c>
      <c r="M204">
        <v>0</v>
      </c>
      <c r="N204">
        <v>9</v>
      </c>
      <c r="O204">
        <v>0</v>
      </c>
      <c r="P204">
        <v>0</v>
      </c>
      <c r="Q204">
        <v>0</v>
      </c>
      <c r="R204">
        <v>19</v>
      </c>
    </row>
    <row r="205" spans="8:18">
      <c r="R205">
        <v>110</v>
      </c>
    </row>
    <row r="206" spans="8:18" ht="15.95">
      <c r="H206" t="s">
        <v>26</v>
      </c>
      <c r="I206" s="5" t="s">
        <v>82</v>
      </c>
      <c r="J206" t="s">
        <v>25</v>
      </c>
      <c r="K206" t="s">
        <v>3</v>
      </c>
      <c r="L206" t="s">
        <v>4</v>
      </c>
      <c r="M206" t="s">
        <v>5</v>
      </c>
      <c r="N206" t="s">
        <v>6</v>
      </c>
      <c r="O206" t="s">
        <v>7</v>
      </c>
      <c r="P206" t="s">
        <v>8</v>
      </c>
      <c r="Q206" t="s">
        <v>9</v>
      </c>
    </row>
    <row r="207" spans="8:18" ht="15.95">
      <c r="I207" s="5" t="s">
        <v>10</v>
      </c>
      <c r="J207">
        <v>40</v>
      </c>
      <c r="K207">
        <v>2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44</v>
      </c>
    </row>
    <row r="208" spans="8:18" ht="15.95">
      <c r="I208" s="5" t="s">
        <v>11</v>
      </c>
      <c r="J208">
        <v>46</v>
      </c>
      <c r="K208">
        <v>4</v>
      </c>
      <c r="L208">
        <v>0</v>
      </c>
      <c r="M208">
        <v>0</v>
      </c>
      <c r="N208">
        <v>14</v>
      </c>
      <c r="O208">
        <v>0</v>
      </c>
      <c r="P208">
        <v>0</v>
      </c>
      <c r="Q208">
        <v>0</v>
      </c>
      <c r="R208">
        <v>64</v>
      </c>
    </row>
    <row r="209" spans="8:18">
      <c r="I209" t="s">
        <v>12</v>
      </c>
      <c r="J209">
        <v>12</v>
      </c>
      <c r="K209">
        <v>0</v>
      </c>
      <c r="L209">
        <v>0</v>
      </c>
      <c r="M209">
        <v>0</v>
      </c>
      <c r="N209">
        <v>19</v>
      </c>
      <c r="O209">
        <v>0</v>
      </c>
      <c r="P209">
        <v>0</v>
      </c>
      <c r="Q209">
        <v>0</v>
      </c>
      <c r="R209">
        <v>31</v>
      </c>
    </row>
    <row r="210" spans="8:18">
      <c r="R210">
        <v>139</v>
      </c>
    </row>
    <row r="211" spans="8:18" ht="15.95">
      <c r="H211" t="s">
        <v>26</v>
      </c>
      <c r="I211" s="5" t="s">
        <v>83</v>
      </c>
      <c r="J211" t="s">
        <v>25</v>
      </c>
      <c r="K211" t="s">
        <v>3</v>
      </c>
      <c r="L211" t="s">
        <v>4</v>
      </c>
      <c r="M211" t="s">
        <v>5</v>
      </c>
      <c r="N211" t="s">
        <v>6</v>
      </c>
      <c r="O211" t="s">
        <v>7</v>
      </c>
      <c r="P211" t="s">
        <v>8</v>
      </c>
      <c r="Q211" t="s">
        <v>9</v>
      </c>
    </row>
    <row r="212" spans="8:18" ht="15.95">
      <c r="I212" s="5" t="s">
        <v>10</v>
      </c>
      <c r="J212">
        <v>49</v>
      </c>
      <c r="K212">
        <v>7</v>
      </c>
      <c r="L212">
        <v>0</v>
      </c>
      <c r="M212">
        <v>1</v>
      </c>
      <c r="N212">
        <v>3</v>
      </c>
      <c r="O212">
        <v>0</v>
      </c>
      <c r="P212">
        <v>0</v>
      </c>
      <c r="Q212">
        <v>0</v>
      </c>
      <c r="R212">
        <v>60</v>
      </c>
    </row>
    <row r="213" spans="8:18" ht="15.95">
      <c r="I213" s="5" t="s">
        <v>11</v>
      </c>
      <c r="J213">
        <v>71</v>
      </c>
      <c r="K213">
        <v>10</v>
      </c>
      <c r="L213">
        <v>0</v>
      </c>
      <c r="M213">
        <v>0</v>
      </c>
      <c r="N213">
        <v>91</v>
      </c>
      <c r="O213">
        <v>0</v>
      </c>
      <c r="P213">
        <v>0</v>
      </c>
      <c r="Q213">
        <v>0</v>
      </c>
      <c r="R213">
        <v>172</v>
      </c>
    </row>
    <row r="214" spans="8:18">
      <c r="I214" t="s">
        <v>12</v>
      </c>
      <c r="J214">
        <v>25</v>
      </c>
      <c r="K214">
        <v>1</v>
      </c>
      <c r="L214">
        <v>0</v>
      </c>
      <c r="M214">
        <v>0</v>
      </c>
      <c r="N214">
        <v>31</v>
      </c>
      <c r="O214">
        <v>0</v>
      </c>
      <c r="P214">
        <v>0</v>
      </c>
      <c r="Q214">
        <v>0</v>
      </c>
      <c r="R214">
        <v>57</v>
      </c>
    </row>
    <row r="215" spans="8:18">
      <c r="R215">
        <v>289</v>
      </c>
    </row>
    <row r="216" spans="8:18" ht="15.95">
      <c r="H216" t="s">
        <v>26</v>
      </c>
      <c r="I216" s="5" t="s">
        <v>84</v>
      </c>
      <c r="J216" t="s">
        <v>25</v>
      </c>
      <c r="K216" t="s">
        <v>3</v>
      </c>
      <c r="L216" t="s">
        <v>4</v>
      </c>
      <c r="M216" t="s">
        <v>5</v>
      </c>
      <c r="N216" t="s">
        <v>6</v>
      </c>
      <c r="O216" t="s">
        <v>7</v>
      </c>
      <c r="P216" t="s">
        <v>8</v>
      </c>
      <c r="Q216" t="s">
        <v>9</v>
      </c>
    </row>
    <row r="217" spans="8:18" ht="15.95">
      <c r="I217" s="5" t="s">
        <v>10</v>
      </c>
      <c r="J217">
        <v>23</v>
      </c>
      <c r="K217">
        <v>1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26</v>
      </c>
    </row>
    <row r="218" spans="8:18" ht="15.95">
      <c r="I218" s="5" t="s">
        <v>11</v>
      </c>
      <c r="J218">
        <v>5</v>
      </c>
      <c r="K218">
        <v>2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8</v>
      </c>
    </row>
    <row r="219" spans="8:18">
      <c r="I219" t="s">
        <v>12</v>
      </c>
      <c r="J219">
        <v>15</v>
      </c>
      <c r="K219">
        <v>0</v>
      </c>
      <c r="L219">
        <v>0</v>
      </c>
      <c r="M219">
        <v>0</v>
      </c>
      <c r="N219">
        <v>4</v>
      </c>
      <c r="O219">
        <v>0</v>
      </c>
      <c r="P219">
        <v>0</v>
      </c>
      <c r="Q219">
        <v>0</v>
      </c>
      <c r="R219">
        <v>19</v>
      </c>
    </row>
    <row r="220" spans="8:18">
      <c r="R220">
        <v>53</v>
      </c>
    </row>
    <row r="221" spans="8:18" ht="15.95">
      <c r="H221" t="s">
        <v>26</v>
      </c>
      <c r="I221" s="5" t="s">
        <v>85</v>
      </c>
      <c r="J221" t="s">
        <v>25</v>
      </c>
      <c r="K221" t="s">
        <v>3</v>
      </c>
      <c r="L221" t="s">
        <v>4</v>
      </c>
      <c r="M221" t="s">
        <v>5</v>
      </c>
      <c r="N221" t="s">
        <v>6</v>
      </c>
      <c r="O221" t="s">
        <v>7</v>
      </c>
      <c r="P221" t="s">
        <v>8</v>
      </c>
      <c r="Q221" t="s">
        <v>9</v>
      </c>
    </row>
    <row r="222" spans="8:18" ht="15.95">
      <c r="I222" s="5" t="s">
        <v>10</v>
      </c>
      <c r="J222">
        <v>19</v>
      </c>
      <c r="K222">
        <v>1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0</v>
      </c>
      <c r="R222">
        <v>24</v>
      </c>
    </row>
    <row r="223" spans="8:18" ht="15.95">
      <c r="I223" s="5" t="s">
        <v>11</v>
      </c>
      <c r="J223">
        <v>2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5</v>
      </c>
    </row>
    <row r="224" spans="8:18">
      <c r="I224" t="s">
        <v>12</v>
      </c>
      <c r="J224">
        <v>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</v>
      </c>
    </row>
    <row r="225" spans="8:18">
      <c r="R225">
        <v>37</v>
      </c>
    </row>
    <row r="226" spans="8:18" ht="15.95">
      <c r="H226" t="s">
        <v>26</v>
      </c>
      <c r="I226" s="5" t="s">
        <v>86</v>
      </c>
      <c r="J226" t="s">
        <v>25</v>
      </c>
      <c r="K226" t="s">
        <v>3</v>
      </c>
      <c r="L226" t="s">
        <v>4</v>
      </c>
      <c r="M226" t="s">
        <v>5</v>
      </c>
      <c r="N226" t="s">
        <v>6</v>
      </c>
      <c r="O226" t="s">
        <v>7</v>
      </c>
      <c r="P226" t="s">
        <v>8</v>
      </c>
      <c r="Q226" t="s">
        <v>9</v>
      </c>
    </row>
    <row r="227" spans="8:18" ht="15.95">
      <c r="I227" s="5" t="s">
        <v>10</v>
      </c>
      <c r="J227">
        <v>22</v>
      </c>
      <c r="K227">
        <v>1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26</v>
      </c>
    </row>
    <row r="228" spans="8:18" ht="15.95">
      <c r="I228" s="5" t="s">
        <v>11</v>
      </c>
      <c r="J228">
        <v>2</v>
      </c>
      <c r="K228">
        <v>2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</v>
      </c>
    </row>
    <row r="229" spans="8:18">
      <c r="I229" t="s">
        <v>12</v>
      </c>
      <c r="J229">
        <v>3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5</v>
      </c>
    </row>
    <row r="230" spans="8:18">
      <c r="R230">
        <v>37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CE0B-A92D-4511-904E-5765790BFC73}">
  <dimension ref="B2:G6"/>
  <sheetViews>
    <sheetView workbookViewId="0">
      <selection activeCell="C6" sqref="C6"/>
    </sheetView>
  </sheetViews>
  <sheetFormatPr defaultRowHeight="15"/>
  <sheetData>
    <row r="2" spans="2:7">
      <c r="B2" t="s">
        <v>522</v>
      </c>
      <c r="C2">
        <v>3</v>
      </c>
      <c r="E2" t="s">
        <v>523</v>
      </c>
      <c r="F2">
        <v>131.6</v>
      </c>
      <c r="G2" t="s">
        <v>524</v>
      </c>
    </row>
    <row r="3" spans="2:7">
      <c r="C3">
        <v>5</v>
      </c>
      <c r="E3" t="s">
        <v>525</v>
      </c>
      <c r="F3">
        <v>179.12</v>
      </c>
      <c r="G3" t="s">
        <v>524</v>
      </c>
    </row>
    <row r="5" spans="2:7">
      <c r="C5">
        <f>AVERAGE(C2:C3)</f>
        <v>4</v>
      </c>
    </row>
    <row r="6" spans="2:7">
      <c r="C6">
        <f>STDEV(C2:C3)/SQRT(COUNT(C2:C3))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F34C-9C3D-E54D-9931-2F3BB0AC10AD}">
  <dimension ref="A1:K11"/>
  <sheetViews>
    <sheetView workbookViewId="0">
      <selection activeCell="C17" sqref="C17"/>
    </sheetView>
  </sheetViews>
  <sheetFormatPr defaultColWidth="11.42578125" defaultRowHeight="15"/>
  <sheetData>
    <row r="1" spans="1:11" ht="15.95">
      <c r="A1" s="11" t="s">
        <v>26</v>
      </c>
      <c r="B1" s="5" t="s">
        <v>279</v>
      </c>
      <c r="C1" s="11" t="s">
        <v>25</v>
      </c>
      <c r="D1" s="5" t="s">
        <v>14</v>
      </c>
      <c r="E1" s="1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1" t="s">
        <v>9</v>
      </c>
      <c r="K1" s="11"/>
    </row>
    <row r="2" spans="1:11" ht="15.95">
      <c r="A2" s="11"/>
      <c r="B2" s="5" t="s">
        <v>10</v>
      </c>
      <c r="C2" s="5">
        <v>974.86670000000004</v>
      </c>
      <c r="D2" s="5">
        <v>118.4667</v>
      </c>
      <c r="E2" s="5">
        <v>19.733329999999999</v>
      </c>
      <c r="F2" s="5">
        <v>73.466669999999993</v>
      </c>
      <c r="G2" s="5">
        <v>23.866669999999999</v>
      </c>
      <c r="H2" s="5">
        <v>5.266667</v>
      </c>
      <c r="I2" s="5">
        <v>31.4</v>
      </c>
      <c r="J2" s="5">
        <v>14.73333</v>
      </c>
      <c r="K2" s="11">
        <v>1261.8</v>
      </c>
    </row>
    <row r="3" spans="1:11" ht="15.95">
      <c r="A3" s="11"/>
      <c r="B3" s="5" t="s">
        <v>11</v>
      </c>
      <c r="C3" s="5">
        <v>172.86670000000001</v>
      </c>
      <c r="D3" s="5">
        <v>22.4</v>
      </c>
      <c r="E3" s="5">
        <v>2.5</v>
      </c>
      <c r="F3" s="5">
        <v>3.3</v>
      </c>
      <c r="G3" s="5">
        <v>70.599999999999994</v>
      </c>
      <c r="H3" s="5">
        <v>2.3333330000000001</v>
      </c>
      <c r="I3" s="5">
        <v>1</v>
      </c>
      <c r="J3" s="5">
        <v>29.83333</v>
      </c>
      <c r="K3" s="11">
        <v>304.83330000000001</v>
      </c>
    </row>
    <row r="4" spans="1:11" ht="15.95">
      <c r="A4" s="11"/>
      <c r="B4" s="11" t="s">
        <v>12</v>
      </c>
      <c r="C4" s="5">
        <v>146.6</v>
      </c>
      <c r="D4" s="5">
        <v>0.53333299999999995</v>
      </c>
      <c r="E4" s="5">
        <v>0</v>
      </c>
      <c r="F4" s="5">
        <v>0</v>
      </c>
      <c r="G4" s="5">
        <v>189.5</v>
      </c>
      <c r="H4" s="5">
        <v>0</v>
      </c>
      <c r="I4" s="5">
        <v>0</v>
      </c>
      <c r="J4" s="5">
        <v>0</v>
      </c>
      <c r="K4" s="11">
        <v>336.63330000000002</v>
      </c>
    </row>
    <row r="5" spans="1:11" ht="15.95">
      <c r="A5" s="11"/>
      <c r="B5" s="11"/>
      <c r="C5" s="11"/>
      <c r="D5" s="11"/>
      <c r="E5" s="11"/>
      <c r="F5" s="11"/>
      <c r="G5" s="11"/>
      <c r="H5" s="11"/>
      <c r="I5" s="11"/>
      <c r="J5" s="11"/>
      <c r="K5" s="5">
        <v>1903.2670000000001</v>
      </c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5.95">
      <c r="A7" s="11" t="s">
        <v>26</v>
      </c>
      <c r="B7" s="5" t="s">
        <v>280</v>
      </c>
      <c r="C7" s="11" t="s">
        <v>25</v>
      </c>
      <c r="D7" s="5" t="s">
        <v>14</v>
      </c>
      <c r="E7" s="11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11" t="s">
        <v>9</v>
      </c>
      <c r="K7" s="11"/>
    </row>
    <row r="8" spans="1:11" ht="15.95">
      <c r="A8" s="11"/>
      <c r="B8" s="5" t="s">
        <v>10</v>
      </c>
      <c r="C8" s="5">
        <v>1327.3330000000001</v>
      </c>
      <c r="D8" s="5">
        <v>123.66670000000001</v>
      </c>
      <c r="E8" s="5">
        <v>14.33333</v>
      </c>
      <c r="F8" s="5">
        <v>108.5</v>
      </c>
      <c r="G8" s="5">
        <v>41.5</v>
      </c>
      <c r="H8" s="5">
        <v>15.33333</v>
      </c>
      <c r="I8" s="5">
        <v>30.33333</v>
      </c>
      <c r="J8" s="5">
        <v>17.16667</v>
      </c>
      <c r="K8" s="5">
        <v>1678.1669999999999</v>
      </c>
    </row>
    <row r="9" spans="1:11" ht="15.95">
      <c r="A9" s="11"/>
      <c r="B9" s="5" t="s">
        <v>11</v>
      </c>
      <c r="C9" s="5">
        <v>363.5</v>
      </c>
      <c r="D9" s="5">
        <v>54.5</v>
      </c>
      <c r="E9" s="5">
        <v>15.16667</v>
      </c>
      <c r="F9" s="5">
        <v>0.66666700000000001</v>
      </c>
      <c r="G9" s="5">
        <v>132.33330000000001</v>
      </c>
      <c r="H9" s="5">
        <v>1.3333330000000001</v>
      </c>
      <c r="I9" s="5">
        <v>4.5</v>
      </c>
      <c r="J9" s="5">
        <v>1.6666669999999999</v>
      </c>
      <c r="K9" s="5">
        <v>573.66669999999999</v>
      </c>
    </row>
    <row r="10" spans="1:11" ht="15.95">
      <c r="A10" s="11"/>
      <c r="B10" s="11" t="s">
        <v>12</v>
      </c>
      <c r="C10" s="5">
        <v>131</v>
      </c>
      <c r="D10" s="5">
        <v>2</v>
      </c>
      <c r="E10" s="5">
        <v>0</v>
      </c>
      <c r="F10" s="5">
        <v>0</v>
      </c>
      <c r="G10" s="5">
        <v>117.16670000000001</v>
      </c>
      <c r="H10" s="5">
        <v>0</v>
      </c>
      <c r="I10" s="5">
        <v>0</v>
      </c>
      <c r="J10" s="5">
        <v>0</v>
      </c>
      <c r="K10" s="5">
        <v>250.16669999999999</v>
      </c>
    </row>
    <row r="11" spans="1:11" ht="15.9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5">
        <v>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Rodriguez Sequeira, Luisana</cp:lastModifiedBy>
  <cp:revision/>
  <dcterms:created xsi:type="dcterms:W3CDTF">2024-07-08T18:21:36Z</dcterms:created>
  <dcterms:modified xsi:type="dcterms:W3CDTF">2025-11-30T21:14:47Z</dcterms:modified>
  <cp:category/>
  <cp:contentStatus/>
</cp:coreProperties>
</file>